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7a666fc7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696c5e3326409e"/>
    <x:sheet xmlns:r="http://schemas.openxmlformats.org/officeDocument/2006/relationships" name="MI5 Scale" sheetId="2" r:id="R323224fa699d4c60"/>
    <x:sheet xmlns:r="http://schemas.openxmlformats.org/officeDocument/2006/relationships" name="Hypotheses" sheetId="3" r:id="Rd94adeb90f7445b7"/>
    <x:sheet xmlns:r="http://schemas.openxmlformats.org/officeDocument/2006/relationships" name="Evidence Log" sheetId="4" r:id="R230f80b0084344d8"/>
    <x:sheet xmlns:r="http://schemas.openxmlformats.org/officeDocument/2006/relationships" name="Decision Nodes" sheetId="5" r:id="R3c80224df3474925"/>
    <x:sheet xmlns:r="http://schemas.openxmlformats.org/officeDocument/2006/relationships" name="Reading Tracker" sheetId="6" r:id="Rc0de74b27ca045c4"/>
    <x:sheet xmlns:r="http://schemas.openxmlformats.org/officeDocument/2006/relationships" name="Instructions" sheetId="7" r:id="R594dce353124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yyyy-mm-dd"/>
    <x:numFmt numFmtId="203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008000"/>
      </x:font>
    </x:dxf>
    <x:dxf>
      <x:font>
        <x:b/>
        <x:color rgb="C00000"/>
      </x:font>
    </x:dxf>
    <x:dxf>
      <x:font>
        <x:b/>
        <x:color rgb="008000"/>
      </x:font>
    </x:dxf>
    <x:dxf>
      <x:font>
        <x:b/>
        <x:color rgb="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4abdf6f3546c3" /><Relationship Type="http://schemas.openxmlformats.org/officeDocument/2006/relationships/theme" Target="/xl/theme/theme1.xml" Id="Rb7f2021563a54258" /><Relationship Type="http://schemas.openxmlformats.org/officeDocument/2006/relationships/sharedStrings" Target="/xl/sharedStrings.xml" Id="R076f28c3ef954613" /><Relationship Type="http://schemas.openxmlformats.org/officeDocument/2006/relationships/worksheet" Target="/xl/worksheets/sheet1.xml" Id="Rec696c5e3326409e" /><Relationship Type="http://schemas.openxmlformats.org/officeDocument/2006/relationships/worksheet" Target="/xl/worksheets/sheet2.xml" Id="R323224fa699d4c60" /><Relationship Type="http://schemas.openxmlformats.org/officeDocument/2006/relationships/worksheet" Target="/xl/worksheets/sheet3.xml" Id="Rd94adeb90f7445b7" /><Relationship Type="http://schemas.openxmlformats.org/officeDocument/2006/relationships/worksheet" Target="/xl/worksheets/sheet4.xml" Id="R230f80b0084344d8" /><Relationship Type="http://schemas.openxmlformats.org/officeDocument/2006/relationships/worksheet" Target="/xl/worksheets/sheet5.xml" Id="R3c80224df3474925" /><Relationship Type="http://schemas.openxmlformats.org/officeDocument/2006/relationships/worksheet" Target="/xl/worksheets/sheet6.xml" Id="Rc0de74b27ca045c4" /><Relationship Type="http://schemas.openxmlformats.org/officeDocument/2006/relationships/worksheet" Target="/xl/worksheets/sheet7.xml" Id="R594dce35312441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a729f8fbc64a3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Posterior</c:v>
          </c:tx>
          <c:cat>
            <c:strRef>
              <c:f>'Dashboard'!$B$11:$B$19</c:f>
              <c:strCache>
                <c:ptCount val="0"/>
              </c:strCache>
            </c:strRef>
          </c:cat>
          <c:val>
            <c:numRef>
              <c:f>'Dashboard'!$D$11:$D$19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a729f8fbc64a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ExpandedTable" displayName="EvidenceExpandedTable" ref="A3:AH68" headerRowCount="1">
  <x:tableColumns count="34">
    <x:tableColumn id="1" name="ID"/>
    <x:tableColumn id="2" name="Date"/>
    <x:tableColumn id="3" name="Evidence / Argument"/>
    <x:tableColumn id="4" name="Category"/>
    <x:tableColumn id="5" name="Source / Book"/>
    <x:tableColumn id="6" name="Weight 0-5"/>
    <x:tableColumn id="7" name="EC MI5"/>
    <x:tableColumn id="8" name="PC MI5"/>
    <x:tableColumn id="9" name="PT MI5"/>
    <x:tableColumn id="10" name="CT MI5"/>
    <x:tableColumn id="11" name="MT MI5"/>
    <x:tableColumn id="12" name="IS MI5"/>
    <x:tableColumn id="13" name="MS MI5"/>
    <x:tableColumn id="14" name="HC MI5"/>
    <x:tableColumn id="15" name="N MI5"/>
    <x:tableColumn id="16" name="EC Numeric"/>
    <x:tableColumn id="17" name="PC Numeric"/>
    <x:tableColumn id="18" name="PT Numeric"/>
    <x:tableColumn id="19" name="CT Numeric"/>
    <x:tableColumn id="20" name="MT Numeric"/>
    <x:tableColumn id="21" name="IS Numeric"/>
    <x:tableColumn id="22" name="MS Numeric"/>
    <x:tableColumn id="23" name="HC Numeric"/>
    <x:tableColumn id="24" name="N Numeric"/>
    <x:tableColumn id="25" name="EC Factor"/>
    <x:tableColumn id="26" name="PC Factor"/>
    <x:tableColumn id="27" name="PT Factor"/>
    <x:tableColumn id="28" name="CT Factor"/>
    <x:tableColumn id="29" name="MT Factor"/>
    <x:tableColumn id="30" name="IS Factor"/>
    <x:tableColumn id="31" name="MS Factor"/>
    <x:tableColumn id="32" name="HC Factor"/>
    <x:tableColumn id="33" name="N Factor"/>
    <x:tableColumn id="3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cisionNodesTable" displayName="DecisionNodesTable" ref="A3:H8" headerRowCount="1">
  <x:tableColumns count="8">
    <x:tableColumn id="1" name="Node"/>
    <x:tableColumn id="2" name="Question"/>
    <x:tableColumn id="3" name="Primary Evidence"/>
    <x:tableColumn id="4" name="Favors If Yes"/>
    <x:tableColumn id="5" name="Favors If No"/>
    <x:tableColumn id="6" name="Current Status"/>
    <x:tableColumn id="7" name="Next Reading / Action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adingTrackerTable" displayName="ReadingTrackerTable" ref="A3:J32" headerRowCount="1">
  <x:tableColumns count="10">
    <x:tableColumn id="1" name="Status"/>
    <x:tableColumn id="2" name="Title"/>
    <x:tableColumn id="3" name="Author / Editor"/>
    <x:tableColumn id="4" name="Category"/>
    <x:tableColumn id="5" name="Directional Push"/>
    <x:tableColumn id="6" name="Evidence Nodes"/>
    <x:tableColumn id="7" name="Priority"/>
    <x:tableColumn id="8" name="My Notes / Impression"/>
    <x:tableColumn id="9" name="Next Action"/>
    <x:tableColumn id="10" name="Date Finished / Star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cf3dc08e9f42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ff6cdbfd3ee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0b20398a8af4a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ee42a5031e34b2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9.200000762939453" hidden="0" customHeight="1">
      <x:c r="A1" s="16" t="str">
        <x:v>Bayesian Belief Dashboard — Expanded 9-Hypothesis Model</x:v>
      </x:c>
    </x:row>
    <x:row r="2"/>
    <x:row r="3" ht="15" hidden="0" customHeight="1">
      <x:c r="A3" s="6" t="str">
        <x:v>Metric</x:v>
      </x:c>
      <x:c r="B3" s="6" t="str">
        <x:v>Value</x:v>
      </x:c>
      <x:c r="C3" s="6" t="str"/>
      <x:c r="D3" s="6" t="str">
        <x:v>Interpretation</x:v>
      </x:c>
      <x:c r="E3" s="6" t="str">
        <x:v>Value</x:v>
      </x:c>
    </x:row>
    <x:row r="4" ht="15" hidden="0" customHeight="1">
      <x:c r="A4" t="str">
        <x:v>Evidence Rows</x:v>
      </x:c>
      <x:c r="B4" t="n">
        <x:f>COUNTA('Evidence Log'!A4:A68)</x:f>
        <x:v>65</x:v>
      </x:c>
    </x:row>
    <x:row r="5" ht="15" hidden="0" customHeight="1">
      <x:c r="A5" t="str">
        <x:v>Highest Posterior</x:v>
      </x:c>
      <x:c r="B5" t="str">
        <x:f>INDEX(Hypotheses!B4:B12,MATCH(MAX(Hypotheses!E4:E12),Hypotheses!E4:E12,0))</x:f>
        <x:v>Process Theology</x:v>
      </x:c>
    </x:row>
    <x:row r="6" ht="15" hidden="0" customHeight="1">
      <x:c r="A6" t="str">
        <x:v>Highest Posterior %</x:v>
      </x:c>
      <x:c r="B6" s="12" t="n">
        <x:f>MAX(Hypotheses!E4:E12)</x:f>
        <x:v>0.5537974968408101</x:v>
      </x:c>
    </x:row>
    <x:row r="7" ht="15" hidden="0" customHeight="1">
      <x:c r="A7" t="str">
        <x:v>Lowest Posterior</x:v>
      </x:c>
      <x:c r="B7" t="str">
        <x:f>INDEX(Hypotheses!B4:B12,MATCH(MIN(Hypotheses!E4:E12),Hypotheses!E4:E12,0))</x:f>
        <x:v>Evangelical / Classical Christianity</x:v>
      </x:c>
    </x:row>
    <x:row r="8" ht="15" hidden="0" customHeight="1">
      <x:c r="A8" t="str">
        <x:v>Model Note</x:v>
      </x:c>
      <x:c r="B8" t="str">
        <x:v>Expanded from 4 buckets to 9 hypotheses to avoid NS catch-all bias.</x:v>
      </x:c>
    </x:row>
    <x:row r="9"/>
    <x:row r="10" ht="15" hidden="0" customHeight="1">
      <x:c r="A10" s="6" t="str">
        <x:v>ID</x:v>
      </x:c>
      <x:c r="B10" s="6" t="str">
        <x:v>Hypothesis</x:v>
      </x:c>
      <x:c r="C10" s="6" t="str">
        <x:v>Prior</x:v>
      </x:c>
      <x:c r="D10" s="6" t="str">
        <x:v>Posterior</x:v>
      </x:c>
      <x:c r="E10" s="6" t="str">
        <x:v>Change</x:v>
      </x:c>
      <x:c r="F10" s="6" t="str">
        <x:v>Trend</x:v>
      </x:c>
    </x:row>
    <x:row r="11" ht="15" hidden="0" customHeight="1">
      <x:c r="A11" s="22" t="str">
        <x:f>Hypotheses!A4</x:f>
        <x:v>EC</x:v>
      </x:c>
      <x:c r="B11" s="22" t="str">
        <x:f>Hypotheses!B4</x:f>
        <x:v>Evangelical / Classical Christianity</x:v>
      </x:c>
      <x:c r="C11" s="23" t="n">
        <x:f>Hypotheses!C4</x:f>
        <x:v>0.125</x:v>
      </x:c>
      <x:c r="D11" s="23" t="n">
        <x:f>Hypotheses!E4</x:f>
        <x:v>4.939208748898124e-19</x:v>
      </x:c>
      <x:c r="E11" s="23" t="n">
        <x:f>Hypotheses!F4</x:f>
        <x:v>-0.125</x:v>
      </x:c>
      <x:c r="F11" s="22" t="str">
        <x:f>Hypotheses!G4</x:f>
        <x:v>Down</x:v>
      </x:c>
    </x:row>
    <x:row r="12" ht="15" hidden="0" customHeight="1">
      <x:c r="A12" s="22" t="str">
        <x:f>Hypotheses!A5</x:f>
        <x:v>PC</x:v>
      </x:c>
      <x:c r="B12" s="22" t="str">
        <x:f>Hypotheses!B5</x:f>
        <x:v>Progressive / Liberal Christianity</x:v>
      </x:c>
      <x:c r="C12" s="23" t="n">
        <x:f>Hypotheses!C5</x:f>
        <x:v>0.15</x:v>
      </x:c>
      <x:c r="D12" s="23" t="n">
        <x:f>Hypotheses!E5</x:f>
        <x:v>0.06511168094855595</x:v>
      </x:c>
      <x:c r="E12" s="23" t="n">
        <x:f>Hypotheses!F5</x:f>
        <x:v>-0.08488831905144405</x:v>
      </x:c>
      <x:c r="F12" s="22" t="str">
        <x:f>Hypotheses!G5</x:f>
        <x:v>Down</x:v>
      </x:c>
    </x:row>
    <x:row r="13" ht="15" hidden="0" customHeight="1">
      <x:c r="A13" s="22" t="str">
        <x:f>Hypotheses!A6</x:f>
        <x:v>PT</x:v>
      </x:c>
      <x:c r="B13" s="22" t="str">
        <x:f>Hypotheses!B6</x:f>
        <x:v>Process Theology</x:v>
      </x:c>
      <x:c r="C13" s="23" t="n">
        <x:f>Hypotheses!C6</x:f>
        <x:v>0.125</x:v>
      </x:c>
      <x:c r="D13" s="23" t="n">
        <x:f>Hypotheses!E6</x:f>
        <x:v>0.5537974968408101</x:v>
      </x:c>
      <x:c r="E13" s="23" t="n">
        <x:f>Hypotheses!F6</x:f>
        <x:v>0.42879749684081014</x:v>
      </x:c>
      <x:c r="F13" s="22" t="str">
        <x:f>Hypotheses!G6</x:f>
        <x:v>Up</x:v>
      </x:c>
    </x:row>
    <x:row r="14" ht="15" hidden="0" customHeight="1">
      <x:c r="A14" s="22" t="str">
        <x:f>Hypotheses!A7</x:f>
        <x:v>CT</x:v>
      </x:c>
      <x:c r="B14" s="22" t="str">
        <x:f>Hypotheses!B7</x:f>
        <x:v>Classical Theism</x:v>
      </x:c>
      <x:c r="C14" s="23" t="n">
        <x:f>Hypotheses!C7</x:f>
        <x:v>0.125</x:v>
      </x:c>
      <x:c r="D14" s="23" t="n">
        <x:f>Hypotheses!E7</x:f>
        <x:v>0.0000018653016136455536</x:v>
      </x:c>
      <x:c r="E14" s="23" t="n">
        <x:f>Hypotheses!F7</x:f>
        <x:v>-0.12499813469838636</x:v>
      </x:c>
      <x:c r="F14" s="22" t="str">
        <x:f>Hypotheses!G7</x:f>
        <x:v>Down</x:v>
      </x:c>
    </x:row>
    <x:row r="15" ht="15" hidden="0" customHeight="1">
      <x:c r="A15" s="22" t="str">
        <x:f>Hypotheses!A8</x:f>
        <x:v>MT</x:v>
      </x:c>
      <x:c r="B15" s="22" t="str">
        <x:f>Hypotheses!B8</x:f>
        <x:v>Minimal Theism / Deism</x:v>
      </x:c>
      <x:c r="C15" s="23" t="n">
        <x:f>Hypotheses!C8</x:f>
        <x:v>0.1</x:v>
      </x:c>
      <x:c r="D15" s="23" t="n">
        <x:f>Hypotheses!E8</x:f>
        <x:v>0.0000018445132109748413</x:v>
      </x:c>
      <x:c r="E15" s="23" t="n">
        <x:f>Hypotheses!F8</x:f>
        <x:v>-0.09999815548678903</x:v>
      </x:c>
      <x:c r="F15" s="22" t="str">
        <x:f>Hypotheses!G8</x:f>
        <x:v>Down</x:v>
      </x:c>
    </x:row>
    <x:row r="16" ht="15" hidden="0" customHeight="1">
      <x:c r="A16" s="22" t="str">
        <x:f>Hypotheses!A9</x:f>
        <x:v>IS</x:v>
      </x:c>
      <x:c r="B16" s="22" t="str">
        <x:f>Hypotheses!B9</x:f>
        <x:v>Idealism / Consciousness-First</x:v>
      </x:c>
      <x:c r="C16" s="23" t="n">
        <x:f>Hypotheses!C9</x:f>
        <x:v>0.1</x:v>
      </x:c>
      <x:c r="D16" s="23" t="n">
        <x:f>Hypotheses!E9</x:f>
        <x:v>0.0006045015134707925</x:v>
      </x:c>
      <x:c r="E16" s="23" t="n">
        <x:f>Hypotheses!F9</x:f>
        <x:v>-0.09939549848652922</x:v>
      </x:c>
      <x:c r="F16" s="22" t="str">
        <x:f>Hypotheses!G9</x:f>
        <x:v>Down</x:v>
      </x:c>
    </x:row>
    <x:row r="17" ht="15" hidden="0" customHeight="1">
      <x:c r="A17" s="22" t="str">
        <x:f>Hypotheses!A10</x:f>
        <x:v>MS</x:v>
      </x:c>
      <x:c r="B17" s="22" t="str">
        <x:f>Hypotheses!B10</x:f>
        <x:v>Mystical / Spiritual Realism</x:v>
      </x:c>
      <x:c r="C17" s="23" t="n">
        <x:f>Hypotheses!C10</x:f>
        <x:v>0.1</x:v>
      </x:c>
      <x:c r="D17" s="23" t="n">
        <x:f>Hypotheses!E10</x:f>
        <x:v>0.0008304831871788397</x:v>
      </x:c>
      <x:c r="E17" s="23" t="n">
        <x:f>Hypotheses!F10</x:f>
        <x:v>-0.09916951681282117</x:v>
      </x:c>
      <x:c r="F17" s="22" t="str">
        <x:f>Hypotheses!G10</x:f>
        <x:v>Down</x:v>
      </x:c>
    </x:row>
    <x:row r="18" ht="15" hidden="0" customHeight="1">
      <x:c r="A18" s="22" t="str">
        <x:f>Hypotheses!A11</x:f>
        <x:v>HC</x:v>
      </x:c>
      <x:c r="B18" s="22" t="str">
        <x:f>Hypotheses!B11</x:f>
        <x:v>Humanistic / Cultural Christianity</x:v>
      </x:c>
      <x:c r="C18" s="23" t="n">
        <x:f>Hypotheses!C11</x:f>
        <x:v>0.075</x:v>
      </x:c>
      <x:c r="D18" s="23" t="n">
        <x:f>Hypotheses!E11</x:f>
        <x:v>0.37964546827000056</x:v>
      </x:c>
      <x:c r="E18" s="23" t="n">
        <x:f>Hypotheses!F11</x:f>
        <x:v>0.30464546827000055</x:v>
      </x:c>
      <x:c r="F18" s="22" t="str">
        <x:f>Hypotheses!G11</x:f>
        <x:v>Up</x:v>
      </x:c>
    </x:row>
    <x:row r="19" ht="15" hidden="0" customHeight="1">
      <x:c r="A19" s="22" t="str">
        <x:f>Hypotheses!A12</x:f>
        <x:v>N</x:v>
      </x:c>
      <x:c r="B19" s="22" t="str">
        <x:f>Hypotheses!B12</x:f>
        <x:v>Naturalism</x:v>
      </x:c>
      <x:c r="C19" s="23" t="n">
        <x:f>Hypotheses!C12</x:f>
        <x:v>0.1</x:v>
      </x:c>
      <x:c r="D19" s="23" t="n">
        <x:f>Hypotheses!E12</x:f>
        <x:v>0.000006659425159181499</x:v>
      </x:c>
      <x:c r="E19" s="23" t="n">
        <x:f>Hypotheses!F12</x:f>
        <x:v>-0.09999334057484083</x:v>
      </x:c>
      <x:c r="F19" s="22" t="str">
        <x:f>Hypotheses!G12</x:f>
        <x:v>Down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</x:sheetData>
  <x:mergeCells>
    <x:mergeCell ref="A1:H1"/>
  </x:mergeCells>
  <x:conditionalFormatting sqref="D11:D19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11:E19">
    <x:cfRule type="expression" dxfId="2" priority="2">
      <x:formula>E11&gt;0</x:formula>
    </x:cfRule>
    <x:cfRule type="expression" dxfId="3" priority="3">
      <x:formula>E11&lt;0</x:formula>
    </x:cfRule>
  </x:conditionalFormatting>
  <x:pageMargins left="0.7" right="0.7" top="0.75" bottom="0.75" header="0.3" footer="0.3"/>
  <x:drawing xmlns:r="http://schemas.openxmlformats.org/officeDocument/2006/relationships" r:id="R19cf3dc08e9f428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5B9BD5"/>
            </x14:dataBar>
          </x14:cfRule>
          <xm:sqref>D11:D19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15" hidden="0" customHeight="1">
      <x:c r="A1" s="6" t="str">
        <x:v>MI5 Likelihood Scale</x:v>
      </x:c>
      <x:c r="B1" s="6" t="str">
        <x:v>Minimum</x:v>
      </x:c>
      <x:c r="C1" s="6" t="str">
        <x:v>Maximum</x:v>
      </x:c>
      <x:c r="D1" s="6" t="str">
        <x:v>Midpoint</x:v>
      </x:c>
    </x:row>
    <x:row r="2" ht="15" hidden="0" customHeight="1">
      <x:c r="A2" t="str">
        <x:v>Remote chance</x:v>
      </x:c>
      <x:c r="B2" s="12" t="n">
        <x:v>0</x:v>
      </x:c>
      <x:c r="C2" s="12" t="n">
        <x:v>0.05</x:v>
      </x:c>
      <x:c r="D2" s="12" t="n">
        <x:v>0.025</x:v>
      </x:c>
    </x:row>
    <x:row r="3" ht="15" hidden="0" customHeight="1">
      <x:c r="A3" t="str">
        <x:v>Highly unlikely</x:v>
      </x:c>
      <x:c r="B3" s="12" t="n">
        <x:v>0.05</x:v>
      </x:c>
      <x:c r="C3" s="12" t="n">
        <x:v>0.2</x:v>
      </x:c>
      <x:c r="D3" s="12" t="n">
        <x:v>0.125</x:v>
      </x:c>
    </x:row>
    <x:row r="4" ht="15" hidden="0" customHeight="1">
      <x:c r="A4" t="str">
        <x:v>Unlikely</x:v>
      </x:c>
      <x:c r="B4" s="12" t="n">
        <x:v>0.2</x:v>
      </x:c>
      <x:c r="C4" s="12" t="n">
        <x:v>0.45</x:v>
      </x:c>
      <x:c r="D4" s="12" t="n">
        <x:v>0.325</x:v>
      </x:c>
    </x:row>
    <x:row r="5" ht="15" hidden="0" customHeight="1">
      <x:c r="A5" t="str">
        <x:v>Roughly even chance</x:v>
      </x:c>
      <x:c r="B5" s="12" t="n">
        <x:v>0.45</x:v>
      </x:c>
      <x:c r="C5" s="12" t="n">
        <x:v>0.55</x:v>
      </x:c>
      <x:c r="D5" s="12" t="n">
        <x:v>0.5</x:v>
      </x:c>
    </x:row>
    <x:row r="6" ht="15" hidden="0" customHeight="1">
      <x:c r="A6" t="str">
        <x:v>Likely / probable</x:v>
      </x:c>
      <x:c r="B6" s="12" t="n">
        <x:v>0.55</x:v>
      </x:c>
      <x:c r="C6" s="12" t="n">
        <x:v>0.75</x:v>
      </x:c>
      <x:c r="D6" s="12" t="n">
        <x:v>0.65</x:v>
      </x:c>
    </x:row>
    <x:row r="7" ht="15" hidden="0" customHeight="1">
      <x:c r="A7" t="str">
        <x:v>Highly likely</x:v>
      </x:c>
      <x:c r="B7" s="12" t="n">
        <x:v>0.75</x:v>
      </x:c>
      <x:c r="C7" s="12" t="n">
        <x:v>0.95</x:v>
      </x:c>
      <x:c r="D7" s="12" t="n">
        <x:v>0.85</x:v>
      </x:c>
    </x:row>
    <x:row r="8" ht="15" hidden="0" customHeight="1">
      <x:c r="A8" t="str">
        <x:v>Almost certain</x:v>
      </x:c>
      <x:c r="B8" s="12" t="n">
        <x:v>0.95</x:v>
      </x:c>
      <x:c r="C8" s="12" t="n">
        <x:v>1</x:v>
      </x:c>
      <x:c r="D8" s="12" t="n">
        <x:v>0.975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9" max="9" width="8" hidden="0" customWidth="1"/>
    <x:col min="10" max="10" width="32" hidden="0" customWidth="1"/>
    <x:col min="11" max="11" width="70" hidden="0" customWidth="1"/>
  </x:cols>
  <x:sheetData>
    <x:row r="1" ht="19.200000762939453" hidden="0" customHeight="1">
      <x:c r="A1" s="16" t="str">
        <x:v>Expanded Hypothesis Model</x:v>
      </x:c>
      <x:c r="I1" s="22"/>
      <x:c r="J1" s="22"/>
      <x:c r="K1" s="22"/>
    </x:row>
    <x:row r="2"/>
    <x:row r="3" ht="26.399999618530273" hidden="0" customHeight="1">
      <x:c r="A3" s="6" t="str">
        <x:v>ID</x:v>
      </x:c>
      <x:c r="B3" s="6" t="str">
        <x:v>Hypothesis</x:v>
      </x:c>
      <x:c r="C3" s="6" t="str">
        <x:v>Prior</x:v>
      </x:c>
      <x:c r="D3" s="6" t="str">
        <x:v>Log Posterior</x:v>
      </x:c>
      <x:c r="E3" s="6" t="str">
        <x:v>Normalized Posterior</x:v>
      </x:c>
      <x:c r="F3" s="6" t="str">
        <x:v>Change</x:v>
      </x:c>
      <x:c r="G3" s="6" t="str">
        <x:v>Trend</x:v>
      </x:c>
      <x:c r="I3" s="6" t="str">
        <x:v>ID</x:v>
      </x:c>
      <x:c r="J3" s="6" t="str">
        <x:v>Hypothesis</x:v>
      </x:c>
      <x:c r="K3" s="6" t="str">
        <x:v>Description</x:v>
      </x:c>
    </x:row>
    <x:row r="4" ht="15" hidden="0" customHeight="1">
      <x:c r="A4" s="22" t="str">
        <x:v>EC</x:v>
      </x:c>
      <x:c r="B4" s="22" t="str">
        <x:v>Evangelical / Classical Christianity</x:v>
      </x:c>
      <x:c r="C4" s="23" t="n">
        <x:v>0.125</x:v>
      </x:c>
      <x:c r="D4" s="24" t="n">
        <x:f>LN(C4)+SUM('Evidence Log'!$AI$4:$AI$251)</x:f>
        <x:v>-61.8458219555766</x:v>
      </x:c>
      <x:c r="E4" s="23" t="n">
        <x:f>EXP(D4-MAX($D$4:$D$12))/(EXP($D$4-MAX($D$4:$D$12))+EXP($D$5-MAX($D$4:$D$12))+EXP($D$6-MAX($D$4:$D$12))+EXP($D$7-MAX($D$4:$D$12))+EXP($D$8-MAX($D$4:$D$12))+EXP($D$9-MAX($D$4:$D$12))+EXP($D$10-MAX($D$4:$D$12))+EXP($D$11-MAX($D$4:$D$12))+EXP($D$12-MAX($D$4:$D$12)))</x:f>
        <x:v>4.939208748898124e-19</x:v>
      </x:c>
      <x:c r="F4" s="23" t="n">
        <x:f>E4-C4</x:f>
        <x:v>-0.125</x:v>
      </x:c>
      <x:c r="G4" s="22" t="str">
        <x:f>IF(F4&gt;0,"Up",IF(F4&lt;0,"Down","Stable"))</x:f>
        <x:v>Down</x:v>
      </x:c>
      <x:c r="I4" t="str">
        <x:v>EC</x:v>
      </x:c>
      <x:c r="J4" t="str">
        <x:v>Evangelical / Classical Christianity</x:v>
      </x:c>
      <x:c r="K4" t="str">
        <x:v>Personal, good, interventionist God; resurrection; salvation through Christ; fairly traditional doctrine</x:v>
      </x:c>
    </x:row>
    <x:row r="5" ht="15" hidden="0" customHeight="1">
      <x:c r="A5" s="22" t="str">
        <x:v>PC</x:v>
      </x:c>
      <x:c r="B5" s="22" t="str">
        <x:v>Progressive / Liberal Christianity</x:v>
      </x:c>
      <x:c r="C5" s="23" t="n">
        <x:v>0.15</x:v>
      </x:c>
      <x:c r="D5" s="24" t="n">
        <x:f>LN(C5)+SUM('Evidence Log'!$AJ$4:$AJ$251)</x:f>
        <x:v>-22.425561649782793</x:v>
      </x:c>
      <x:c r="E5" s="23" t="n">
        <x:f>EXP(D5-MAX($D$4:$D$12))/(EXP($D$4-MAX($D$4:$D$12))+EXP($D$5-MAX($D$4:$D$12))+EXP($D$6-MAX($D$4:$D$12))+EXP($D$7-MAX($D$4:$D$12))+EXP($D$8-MAX($D$4:$D$12))+EXP($D$9-MAX($D$4:$D$12))+EXP($D$10-MAX($D$4:$D$12))+EXP($D$11-MAX($D$4:$D$12))+EXP($D$12-MAX($D$4:$D$12)))</x:f>
        <x:v>0.06511168094855595</x:v>
      </x:c>
      <x:c r="F5" s="23" t="n">
        <x:f>E5-C5</x:f>
        <x:v>-0.08488831905144405</x:v>
      </x:c>
      <x:c r="G5" s="22" t="str">
        <x:f>IF(F5&gt;0,"Up",IF(F5&lt;0,"Down","Stable"))</x:f>
        <x:v>Down</x:v>
      </x:c>
      <x:c r="I5" t="str">
        <x:v>PC</x:v>
      </x:c>
      <x:c r="J5" t="str">
        <x:v>Progressive / Liberal Christianity</x:v>
      </x:c>
      <x:c r="K5" t="str">
        <x:v>Christian identity, worship, Jesus-centered ethics; non-inerrantist; symbolic readings/pluralism permitted</x:v>
      </x:c>
    </x:row>
    <x:row r="6" ht="15" hidden="0" customHeight="1">
      <x:c r="A6" s="22" t="str">
        <x:v>PT</x:v>
      </x:c>
      <x:c r="B6" s="22" t="str">
        <x:v>Process Theology</x:v>
      </x:c>
      <x:c r="C6" s="23" t="n">
        <x:v>0.125</x:v>
      </x:c>
      <x:c r="D6" s="24" t="n">
        <x:f>LN(C6)+SUM('Evidence Log'!$AK$4:$AK$251)</x:f>
        <x:v>-20.28486652299792</x:v>
      </x:c>
      <x:c r="E6" s="23" t="n">
        <x:f>EXP(D6-MAX($D$4:$D$12))/(EXP($D$4-MAX($D$4:$D$12))+EXP($D$5-MAX($D$4:$D$12))+EXP($D$6-MAX($D$4:$D$12))+EXP($D$7-MAX($D$4:$D$12))+EXP($D$8-MAX($D$4:$D$12))+EXP($D$9-MAX($D$4:$D$12))+EXP($D$10-MAX($D$4:$D$12))+EXP($D$11-MAX($D$4:$D$12))+EXP($D$12-MAX($D$4:$D$12)))</x:f>
        <x:v>0.5537974968408101</x:v>
      </x:c>
      <x:c r="F6" s="23" t="n">
        <x:f>E6-C6</x:f>
        <x:v>0.42879749684081014</x:v>
      </x:c>
      <x:c r="G6" s="22" t="str">
        <x:f>IF(F6&gt;0,"Up",IF(F6&lt;0,"Down","Stable"))</x:f>
        <x:v>Up</x:v>
      </x:c>
      <x:c r="I6" t="str">
        <x:v>PT</x:v>
      </x:c>
      <x:c r="J6" t="str">
        <x:v>Process Theology</x:v>
      </x:c>
      <x:c r="K6" t="str">
        <x:v>God is real and relational but not coercively omnipotent; divine power is persuasive rather than controlling</x:v>
      </x:c>
    </x:row>
    <x:row r="7" ht="15" hidden="0" customHeight="1">
      <x:c r="A7" s="22" t="str">
        <x:v>CT</x:v>
      </x:c>
      <x:c r="B7" s="22" t="str">
        <x:v>Classical Theism</x:v>
      </x:c>
      <x:c r="C7" s="23" t="n">
        <x:v>0.125</x:v>
      </x:c>
      <x:c r="D7" s="24" t="n">
        <x:f>LN(C7)+SUM('Evidence Log'!$AL$4:$AL$251)</x:f>
        <x:v>-32.88599812958271</x:v>
      </x:c>
      <x:c r="E7" s="23" t="n">
        <x:f>EXP(D7-MAX($D$4:$D$12))/(EXP($D$4-MAX($D$4:$D$12))+EXP($D$5-MAX($D$4:$D$12))+EXP($D$6-MAX($D$4:$D$12))+EXP($D$7-MAX($D$4:$D$12))+EXP($D$8-MAX($D$4:$D$12))+EXP($D$9-MAX($D$4:$D$12))+EXP($D$10-MAX($D$4:$D$12))+EXP($D$11-MAX($D$4:$D$12))+EXP($D$12-MAX($D$4:$D$12)))</x:f>
        <x:v>0.0000018653016136455536</x:v>
      </x:c>
      <x:c r="F7" s="23" t="n">
        <x:f>E7-C7</x:f>
        <x:v>-0.12499813469838636</x:v>
      </x:c>
      <x:c r="G7" s="22" t="str">
        <x:f>IF(F7&gt;0,"Up",IF(F7&lt;0,"Down","Stable"))</x:f>
        <x:v>Down</x:v>
      </x:c>
      <x:c r="I7" t="str">
        <x:v>CT</x:v>
      </x:c>
      <x:c r="J7" t="str">
        <x:v>Classical Theism</x:v>
      </x:c>
      <x:c r="K7" t="str">
        <x:v>Personal God of perfect goodness/power/knowledge, separate from specific evangelical commitments</x:v>
      </x:c>
    </x:row>
    <x:row r="8" ht="15" hidden="0" customHeight="1">
      <x:c r="A8" s="22" t="str">
        <x:v>MT</x:v>
      </x:c>
      <x:c r="B8" s="22" t="str">
        <x:v>Minimal Theism / Deism</x:v>
      </x:c>
      <x:c r="C8" s="23" t="n">
        <x:v>0.1</x:v>
      </x:c>
      <x:c r="D8" s="24" t="n">
        <x:f>LN(C8)+SUM('Evidence Log'!$AM$4:$AM$251)</x:f>
        <x:v>-32.897205492347126</x:v>
      </x:c>
      <x:c r="E8" s="23" t="n">
        <x:f>EXP(D8-MAX($D$4:$D$12))/(EXP($D$4-MAX($D$4:$D$12))+EXP($D$5-MAX($D$4:$D$12))+EXP($D$6-MAX($D$4:$D$12))+EXP($D$7-MAX($D$4:$D$12))+EXP($D$8-MAX($D$4:$D$12))+EXP($D$9-MAX($D$4:$D$12))+EXP($D$10-MAX($D$4:$D$12))+EXP($D$11-MAX($D$4:$D$12))+EXP($D$12-MAX($D$4:$D$12)))</x:f>
        <x:v>0.0000018445132109748413</x:v>
      </x:c>
      <x:c r="F8" s="23" t="n">
        <x:f>E8-C8</x:f>
        <x:v>-0.09999815548678903</x:v>
      </x:c>
      <x:c r="G8" s="22" t="str">
        <x:f>IF(F8&gt;0,"Up",IF(F8&lt;0,"Down","Stable"))</x:f>
        <x:v>Down</x:v>
      </x:c>
      <x:c r="I8" t="str">
        <x:v>MT</x:v>
      </x:c>
      <x:c r="J8" t="str">
        <x:v>Minimal Theism / Deism</x:v>
      </x:c>
      <x:c r="K8" t="str">
        <x:v>Mind-like/divine ground exists but little or no intervention or revelation</x:v>
      </x:c>
    </x:row>
    <x:row r="9" ht="15" hidden="0" customHeight="1">
      <x:c r="A9" s="22" t="str">
        <x:v>IS</x:v>
      </x:c>
      <x:c r="B9" s="22" t="str">
        <x:v>Idealism / Consciousness-First</x:v>
      </x:c>
      <x:c r="C9" s="23" t="n">
        <x:v>0.1</x:v>
      </x:c>
      <x:c r="D9" s="24" t="n">
        <x:f>LN(C9)+SUM('Evidence Log'!$AN$4:$AN$251)</x:f>
        <x:v>-27.105016719011576</x:v>
      </x:c>
      <x:c r="E9" s="23" t="n">
        <x:f>EXP(D9-MAX($D$4:$D$12))/(EXP($D$4-MAX($D$4:$D$12))+EXP($D$5-MAX($D$4:$D$12))+EXP($D$6-MAX($D$4:$D$12))+EXP($D$7-MAX($D$4:$D$12))+EXP($D$8-MAX($D$4:$D$12))+EXP($D$9-MAX($D$4:$D$12))+EXP($D$10-MAX($D$4:$D$12))+EXP($D$11-MAX($D$4:$D$12))+EXP($D$12-MAX($D$4:$D$12)))</x:f>
        <x:v>0.0006045015134707925</x:v>
      </x:c>
      <x:c r="F9" s="23" t="n">
        <x:f>E9-C9</x:f>
        <x:v>-0.09939549848652922</x:v>
      </x:c>
      <x:c r="G9" s="22" t="str">
        <x:f>IF(F9&gt;0,"Up",IF(F9&lt;0,"Down","Stable"))</x:f>
        <x:v>Down</x:v>
      </x:c>
      <x:c r="I9" t="str">
        <x:v>IS</x:v>
      </x:c>
      <x:c r="J9" t="str">
        <x:v>Idealism / Consciousness-First</x:v>
      </x:c>
      <x:c r="K9" t="str">
        <x:v>Consciousness or mind is fundamental; matter derivative/secondary or not fully reducible</x:v>
      </x:c>
    </x:row>
    <x:row r="10" ht="15" hidden="0" customHeight="1">
      <x:c r="A10" s="22" t="str">
        <x:v>MS</x:v>
      </x:c>
      <x:c r="B10" s="22" t="str">
        <x:v>Mystical / Spiritual Realism</x:v>
      </x:c>
      <x:c r="C10" s="23" t="n">
        <x:v>0.1</x:v>
      </x:c>
      <x:c r="D10" s="24" t="n">
        <x:f>LN(C10)+SUM('Evidence Log'!$AO$4:$AO$251)</x:f>
        <x:v>-26.78741320810435</x:v>
      </x:c>
      <x:c r="E10" s="23" t="n">
        <x:f>EXP(D10-MAX($D$4:$D$12))/(EXP($D$4-MAX($D$4:$D$12))+EXP($D$5-MAX($D$4:$D$12))+EXP($D$6-MAX($D$4:$D$12))+EXP($D$7-MAX($D$4:$D$12))+EXP($D$8-MAX($D$4:$D$12))+EXP($D$9-MAX($D$4:$D$12))+EXP($D$10-MAX($D$4:$D$12))+EXP($D$11-MAX($D$4:$D$12))+EXP($D$12-MAX($D$4:$D$12)))</x:f>
        <x:v>0.0008304831871788397</x:v>
      </x:c>
      <x:c r="F10" s="23" t="n">
        <x:f>E10-C10</x:f>
        <x:v>-0.09916951681282117</x:v>
      </x:c>
      <x:c r="G10" s="22" t="str">
        <x:f>IF(F10&gt;0,"Up",IF(F10&lt;0,"Down","Stable"))</x:f>
        <x:v>Down</x:v>
      </x:c>
      <x:c r="I10" t="str">
        <x:v>MS</x:v>
      </x:c>
      <x:c r="J10" t="str">
        <x:v>Mystical / Spiritual Realism</x:v>
      </x:c>
      <x:c r="K10" t="str">
        <x:v>Religious/mystical experience may disclose real transpersonal/spiritual reality, not necessarily Christian</x:v>
      </x:c>
    </x:row>
    <x:row r="11" ht="15" hidden="0" customHeight="1">
      <x:c r="A11" s="22" t="str">
        <x:v>HC</x:v>
      </x:c>
      <x:c r="B11" s="22" t="str">
        <x:v>Humanistic / Cultural Christianity</x:v>
      </x:c>
      <x:c r="C11" s="23" t="n">
        <x:v>0.075</x:v>
      </x:c>
      <x:c r="D11" s="24" t="n">
        <x:f>LN(C11)+SUM('Evidence Log'!$AP$4:$AP$251)</x:f>
        <x:v>-20.662427774766417</x:v>
      </x:c>
      <x:c r="E11" s="23" t="n">
        <x:f>EXP(D11-MAX($D$4:$D$12))/(EXP($D$4-MAX($D$4:$D$12))+EXP($D$5-MAX($D$4:$D$12))+EXP($D$6-MAX($D$4:$D$12))+EXP($D$7-MAX($D$4:$D$12))+EXP($D$8-MAX($D$4:$D$12))+EXP($D$9-MAX($D$4:$D$12))+EXP($D$10-MAX($D$4:$D$12))+EXP($D$11-MAX($D$4:$D$12))+EXP($D$12-MAX($D$4:$D$12)))</x:f>
        <x:v>0.37964546827000056</x:v>
      </x:c>
      <x:c r="F11" s="23" t="n">
        <x:f>E11-C11</x:f>
        <x:v>0.30464546827000055</x:v>
      </x:c>
      <x:c r="G11" s="22" t="str">
        <x:f>IF(F11&gt;0,"Up",IF(F11&lt;0,"Down","Stable"))</x:f>
        <x:v>Up</x:v>
      </x:c>
      <x:c r="I11" t="str">
        <x:v>HC</x:v>
      </x:c>
      <x:c r="J11" t="str">
        <x:v>Humanistic / Cultural Christianity</x:v>
      </x:c>
      <x:c r="K11" t="str">
        <x:v>Christian practice, ethics, tradition, recovery, and community retained without supernatural commitment</x:v>
      </x:c>
    </x:row>
    <x:row r="12" ht="15" hidden="0" customHeight="1">
      <x:c r="A12" s="22" t="str">
        <x:v>N</x:v>
      </x:c>
      <x:c r="B12" s="22" t="str">
        <x:v>Naturalism</x:v>
      </x:c>
      <x:c r="C12" s="23" t="n">
        <x:v>0.1</x:v>
      </x:c>
      <x:c r="D12" s="24" t="n">
        <x:f>LN(C12)+SUM('Evidence Log'!$AQ$4:$AQ$251)</x:f>
        <x:v>-31.613387724345102</x:v>
      </x:c>
      <x:c r="E12" s="23" t="n">
        <x:f>EXP(D12-MAX($D$4:$D$12))/(EXP($D$4-MAX($D$4:$D$12))+EXP($D$5-MAX($D$4:$D$12))+EXP($D$6-MAX($D$4:$D$12))+EXP($D$7-MAX($D$4:$D$12))+EXP($D$8-MAX($D$4:$D$12))+EXP($D$9-MAX($D$4:$D$12))+EXP($D$10-MAX($D$4:$D$12))+EXP($D$11-MAX($D$4:$D$12))+EXP($D$12-MAX($D$4:$D$12)))</x:f>
        <x:v>0.000006659425159181499</x:v>
      </x:c>
      <x:c r="F12" s="23" t="n">
        <x:f>E12-C12</x:f>
        <x:v>-0.09999334057484083</x:v>
      </x:c>
      <x:c r="G12" s="22" t="str">
        <x:f>IF(F12&gt;0,"Up",IF(F12&lt;0,"Down","Stable"))</x:f>
        <x:v>Down</x:v>
      </x:c>
      <x:c r="I12" t="str">
        <x:v>N</x:v>
      </x:c>
      <x:c r="J12" t="str">
        <x:v>Naturalism</x:v>
      </x:c>
      <x:c r="K12" t="str">
        <x:v>Reality is ultimately non-supernatural; consciousness, morality, and religion emerge from natural processes</x:v>
      </x:c>
    </x:row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</x:sheetData>
  <x:mergeCells>
    <x:mergeCell ref="A1:G1"/>
  </x:mergeCells>
  <x:conditionalFormatting sqref="F4:F12">
    <x:cfRule type="expression" dxfId="0" priority="1">
      <x:formula>F4&gt;0</x:formula>
    </x:cfRule>
    <x:cfRule type="expression" dxfId="1" priority="2">
      <x:formula>F4&lt;0</x:formula>
    </x:cfRule>
  </x:conditionalFormatting>
  <x:conditionalFormatting sqref="E4:E12">
    <x:cfRule type="dataBar" priority="3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{0AA1F1F7-2101-193F-CC13-32DDC01AFADE}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0AA1F1F7-2101-193F-CC13-32DDC01AFADE}">
            <x14:dataBar gradient="1">
              <x14:cfvo type="min"/>
              <x14:cfvo type="max"/>
              <x14:fillColor rgb="5B9BD5"/>
            </x14:dataBar>
          </x14:cfRule>
          <xm:sqref>E4:E12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45" hidden="0" customWidth="1"/>
    <x:col min="4" max="4" width="20" hidden="0" customWidth="1"/>
    <x:col min="5" max="5" width="28" hidden="0" customWidth="1"/>
    <x:col min="6" max="6" width="11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45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</x:cols>
  <x:sheetData>
    <x:row r="1" ht="19.200000762939453" hidden="0" customHeight="1">
      <x:c r="A1" s="16" t="str">
        <x:v>Evidence Log: Expanded MI5 Likelihood Inputs and Bayesian Factors</x:v>
      </x:c>
    </x:row>
    <x:row r="2"/>
    <x:row r="3" ht="15" hidden="0" customHeight="1">
      <x:c r="A3" s="6" t="str">
        <x:v>ID</x:v>
      </x:c>
      <x:c r="B3" s="6" t="str">
        <x:v>Date</x:v>
      </x:c>
      <x:c r="C3" s="6" t="str">
        <x:v>Evidence / Argument</x:v>
      </x:c>
      <x:c r="D3" s="6" t="str">
        <x:v>Category</x:v>
      </x:c>
      <x:c r="E3" s="6" t="str">
        <x:v>Source / Book</x:v>
      </x:c>
      <x:c r="F3" s="6" t="str">
        <x:v>Weight 0-5</x:v>
      </x:c>
      <x:c r="G3" s="6" t="str">
        <x:v>EC MI5</x:v>
      </x:c>
      <x:c r="H3" s="6" t="str">
        <x:v>PC MI5</x:v>
      </x:c>
      <x:c r="I3" s="6" t="str">
        <x:v>PT MI5</x:v>
      </x:c>
      <x:c r="J3" s="6" t="str">
        <x:v>CT MI5</x:v>
      </x:c>
      <x:c r="K3" s="6" t="str">
        <x:v>MT MI5</x:v>
      </x:c>
      <x:c r="L3" s="6" t="str">
        <x:v>IS MI5</x:v>
      </x:c>
      <x:c r="M3" s="6" t="str">
        <x:v>MS MI5</x:v>
      </x:c>
      <x:c r="N3" s="6" t="str">
        <x:v>HC MI5</x:v>
      </x:c>
      <x:c r="O3" s="6" t="str">
        <x:v>N MI5</x:v>
      </x:c>
      <x:c r="P3" s="6" t="str">
        <x:v>EC Numeric</x:v>
      </x:c>
      <x:c r="Q3" s="6" t="str">
        <x:v>PC Numeric</x:v>
      </x:c>
      <x:c r="R3" s="6" t="str">
        <x:v>PT Numeric</x:v>
      </x:c>
      <x:c r="S3" s="6" t="str">
        <x:v>CT Numeric</x:v>
      </x:c>
      <x:c r="T3" s="6" t="str">
        <x:v>MT Numeric</x:v>
      </x:c>
      <x:c r="U3" s="6" t="str">
        <x:v>IS Numeric</x:v>
      </x:c>
      <x:c r="V3" s="6" t="str">
        <x:v>MS Numeric</x:v>
      </x:c>
      <x:c r="W3" s="6" t="str">
        <x:v>HC Numeric</x:v>
      </x:c>
      <x:c r="X3" s="6" t="str">
        <x:v>N Numeric</x:v>
      </x:c>
      <x:c r="Y3" s="6" t="str">
        <x:v>EC Factor</x:v>
      </x:c>
      <x:c r="Z3" s="6" t="str">
        <x:v>PC Factor</x:v>
      </x:c>
      <x:c r="AA3" s="6" t="str">
        <x:v>PT Factor</x:v>
      </x:c>
      <x:c r="AB3" s="6" t="str">
        <x:v>CT Factor</x:v>
      </x:c>
      <x:c r="AC3" s="6" t="str">
        <x:v>MT Factor</x:v>
      </x:c>
      <x:c r="AD3" s="6" t="str">
        <x:v>IS Factor</x:v>
      </x:c>
      <x:c r="AE3" s="6" t="str">
        <x:v>MS Factor</x:v>
      </x:c>
      <x:c r="AF3" s="6" t="str">
        <x:v>HC Factor</x:v>
      </x:c>
      <x:c r="AG3" s="6" t="str">
        <x:v>N Factor</x:v>
      </x:c>
      <x:c r="AH3" s="6" t="str">
        <x:v>Notes</x:v>
      </x:c>
      <x:c r="AI3" s="6" t="str">
        <x:v>EC Log Factor</x:v>
      </x:c>
      <x:c r="AJ3" s="6" t="str">
        <x:v>PC Log Factor</x:v>
      </x:c>
      <x:c r="AK3" s="6" t="str">
        <x:v>PT Log Factor</x:v>
      </x:c>
      <x:c r="AL3" s="6" t="str">
        <x:v>CT Log Factor</x:v>
      </x:c>
      <x:c r="AM3" s="6" t="str">
        <x:v>MT Log Factor</x:v>
      </x:c>
      <x:c r="AN3" s="6" t="str">
        <x:v>IS Log Factor</x:v>
      </x:c>
      <x:c r="AO3" s="6" t="str">
        <x:v>MS Log Factor</x:v>
      </x:c>
      <x:c r="AP3" s="6" t="str">
        <x:v>HC Log Factor</x:v>
      </x:c>
      <x:c r="AQ3" s="6" t="str">
        <x:v>N Log Factor</x:v>
      </x:c>
    </x:row>
    <x:row r="4" ht="39.599998474121094" hidden="0" customHeight="1">
      <x:c r="A4" s="22" t="str">
        <x:v>EV001</x:v>
      </x:c>
      <x:c r="B4" s="32" t="n">
        <x:v>46143</x:v>
      </x:c>
      <x:c r="C4" s="22" t="str">
        <x:v>Severe / apparently gratuitous suffering</x:v>
      </x:c>
      <x:c r="D4" s="22" t="str">
        <x:v>E1: Suffering</x:v>
      </x:c>
      <x:c r="E4" s="22" t="str">
        <x:v>Personal experience + problem of evil</x:v>
      </x:c>
      <x:c r="F4" s="33" t="n">
        <x:v>4</x:v>
      </x:c>
      <x:c r="G4" s="22" t="str">
        <x:v>Highly unlikely</x:v>
      </x:c>
      <x:c r="H4" s="22" t="str">
        <x:v>Unlikely</x:v>
      </x:c>
      <x:c r="I4" s="22" t="str">
        <x:v>Likely / probable</x:v>
      </x:c>
      <x:c r="J4" s="22" t="str">
        <x:v>Unlikely</x:v>
      </x:c>
      <x:c r="K4" s="22" t="str">
        <x:v>Roughly even chance</x:v>
      </x:c>
      <x:c r="L4" s="22" t="str">
        <x:v>Roughly even chance</x:v>
      </x:c>
      <x:c r="M4" s="22" t="str">
        <x:v>Roughly even chance</x:v>
      </x:c>
      <x:c r="N4" s="22" t="str">
        <x:v>Roughly even chance</x:v>
      </x:c>
      <x:c r="O4" s="22" t="str">
        <x:v>Highly likely</x:v>
      </x:c>
      <x:c r="P4" s="23" t="n">
        <x:f>IFERROR(VLOOKUP(G4,'MI5 Scale'!$A$2:$D$8,4,FALSE),"")</x:f>
        <x:v>0.125</x:v>
      </x:c>
      <x:c r="Q4" s="23" t="n">
        <x:f>IFERROR(VLOOKUP(H4,'MI5 Scale'!$A$2:$D$8,4,FALSE),"")</x:f>
        <x:v>0.325</x:v>
      </x:c>
      <x:c r="R4" s="23" t="n">
        <x:f>IFERROR(VLOOKUP(I4,'MI5 Scale'!$A$2:$D$8,4,FALSE),"")</x:f>
        <x:v>0.65</x:v>
      </x:c>
      <x:c r="S4" s="23" t="n">
        <x:f>IFERROR(VLOOKUP(J4,'MI5 Scale'!$A$2:$D$8,4,FALSE),"")</x:f>
        <x:v>0.325</x:v>
      </x:c>
      <x:c r="T4" s="23" t="n">
        <x:f>IFERROR(VLOOKUP(K4,'MI5 Scale'!$A$2:$D$8,4,FALSE),"")</x:f>
        <x:v>0.5</x:v>
      </x:c>
      <x:c r="U4" s="23" t="n">
        <x:f>IFERROR(VLOOKUP(L4,'MI5 Scale'!$A$2:$D$8,4,FALSE),"")</x:f>
        <x:v>0.5</x:v>
      </x:c>
      <x:c r="V4" s="23" t="n">
        <x:f>IFERROR(VLOOKUP(M4,'MI5 Scale'!$A$2:$D$8,4,FALSE),"")</x:f>
        <x:v>0.5</x:v>
      </x:c>
      <x:c r="W4" s="23" t="n">
        <x:f>IFERROR(VLOOKUP(N4,'MI5 Scale'!$A$2:$D$8,4,FALSE),"")</x:f>
        <x:v>0.5</x:v>
      </x:c>
      <x:c r="X4" s="23" t="n">
        <x:f>IFERROR(VLOOKUP(O4,'MI5 Scale'!$A$2:$D$8,4,FALSE),"")</x:f>
        <x:v>0.85</x:v>
      </x:c>
      <x:c r="Y4" s="23" t="n">
        <x:f>IFERROR(POWER(P4,$F4/5),"")</x:f>
        <x:v>0.18946457081379975</x:v>
      </x:c>
      <x:c r="Z4" s="23" t="n">
        <x:f>IFERROR(POWER(Q4,$F4/5),"")</x:f>
        <x:v>0.4069178009022941</x:v>
      </x:c>
      <x:c r="AA4" s="23" t="n">
        <x:f>IFERROR(POWER(R4,$F4/5),"")</x:f>
        <x:v>0.7084850415814244</x:v>
      </x:c>
      <x:c r="AB4" s="23" t="n">
        <x:f>IFERROR(POWER(S4,$F4/5),"")</x:f>
        <x:v>0.4069178009022941</x:v>
      </x:c>
      <x:c r="AC4" s="23" t="n">
        <x:f>IFERROR(POWER(T4,$F4/5),"")</x:f>
        <x:v>0.5743491774985174</x:v>
      </x:c>
      <x:c r="AD4" s="23" t="n">
        <x:f>IFERROR(POWER(U4,$F4/5),"")</x:f>
        <x:v>0.5743491774985174</x:v>
      </x:c>
      <x:c r="AE4" s="23" t="n">
        <x:f>IFERROR(POWER(V4,$F4/5),"")</x:f>
        <x:v>0.5743491774985174</x:v>
      </x:c>
      <x:c r="AF4" s="23" t="n">
        <x:f>IFERROR(POWER(W4,$F4/5),"")</x:f>
        <x:v>0.5743491774985174</x:v>
      </x:c>
      <x:c r="AG4" s="23" t="n">
        <x:f>IFERROR(POWER(X4,$F4/5),"")</x:f>
        <x:v>0.8780821334968424</x:v>
      </x:c>
      <x:c r="AH4" s="22" t="str">
        <x:v>Strong pressure against a maximally good, interventionist God; less pressure against deism or naturalism.</x:v>
      </x:c>
      <x:c r="AI4" s="20" t="n">
        <x:f>IFERROR(LN(Y4),"")</x:f>
        <x:v>-1.6635532333438687</x:v>
      </x:c>
      <x:c r="AJ4" s="20" t="n">
        <x:f>IFERROR(LN(Z4),"")</x:f>
        <x:v>-0.8991440773219196</x:v>
      </x:c>
      <x:c r="AK4" s="20" t="n">
        <x:f>IFERROR(LN(AA4),"")</x:f>
        <x:v>-0.34462633287396344</x:v>
      </x:c>
      <x:c r="AL4" s="20" t="n">
        <x:f>IFERROR(LN(AB4),"")</x:f>
        <x:v>-0.8991440773219196</x:v>
      </x:c>
      <x:c r="AM4" s="20" t="n">
        <x:f>IFERROR(LN(AC4),"")</x:f>
        <x:v>-0.5545177444479563</x:v>
      </x:c>
      <x:c r="AN4" s="20" t="n">
        <x:f>IFERROR(LN(AD4),"")</x:f>
        <x:v>-0.5545177444479563</x:v>
      </x:c>
      <x:c r="AO4" s="20" t="n">
        <x:f>IFERROR(LN(AE4),"")</x:f>
        <x:v>-0.5545177444479563</x:v>
      </x:c>
      <x:c r="AP4" s="20" t="n">
        <x:f>IFERROR(LN(AF4),"")</x:f>
        <x:v>-0.5545177444479563</x:v>
      </x:c>
      <x:c r="AQ4" s="20" t="n">
        <x:f>IFERROR(LN(AG4),"")</x:f>
        <x:v>-0.13001514359821992</x:v>
      </x:c>
    </x:row>
    <x:row r="5" ht="26.399999618530273" hidden="0" customHeight="1">
      <x:c r="A5" s="22" t="str">
        <x:v>EV002</x:v>
      </x:c>
      <x:c r="B5" s="32" t="n">
        <x:v>46143</x:v>
      </x:c>
      <x:c r="C5" s="22" t="str">
        <x:v>Religious experience, worship, recovery, synchronicity</x:v>
      </x:c>
      <x:c r="D5" s="22" t="str">
        <x:v>E2: Religious Experience</x:v>
      </x:c>
      <x:c r="E5" s="22" t="str">
        <x:v>Personal history / 12-step / worship</x:v>
      </x:c>
      <x:c r="F5" s="33" t="n">
        <x:v>2</x:v>
      </x:c>
      <x:c r="G5" s="22" t="str">
        <x:v>Likely / probable</x:v>
      </x:c>
      <x:c r="H5" s="22" t="str">
        <x:v>Highly likely</x:v>
      </x:c>
      <x:c r="I5" s="22" t="str">
        <x:v>Likely / probable</x:v>
      </x:c>
      <x:c r="J5" s="22" t="str">
        <x:v>Likely / probable</x:v>
      </x:c>
      <x:c r="K5" s="22" t="str">
        <x:v>Unlikely</x:v>
      </x:c>
      <x:c r="L5" s="22" t="str">
        <x:v>Roughly even chance</x:v>
      </x:c>
      <x:c r="M5" s="22" t="str">
        <x:v>Highly likely</x:v>
      </x:c>
      <x:c r="N5" s="22" t="str">
        <x:v>Highly likely</x:v>
      </x:c>
      <x:c r="O5" s="22" t="str">
        <x:v>Roughly even chance</x:v>
      </x:c>
      <x:c r="P5" s="23" t="n">
        <x:f>IFERROR(VLOOKUP(G5,'MI5 Scale'!$A$2:$D$8,4,FALSE),"")</x:f>
        <x:v>0.65</x:v>
      </x:c>
      <x:c r="Q5" s="23" t="n">
        <x:f>IFERROR(VLOOKUP(H5,'MI5 Scale'!$A$2:$D$8,4,FALSE),"")</x:f>
        <x:v>0.85</x:v>
      </x:c>
      <x:c r="R5" s="23" t="n">
        <x:f>IFERROR(VLOOKUP(I5,'MI5 Scale'!$A$2:$D$8,4,FALSE),"")</x:f>
        <x:v>0.65</x:v>
      </x:c>
      <x:c r="S5" s="23" t="n">
        <x:f>IFERROR(VLOOKUP(J5,'MI5 Scale'!$A$2:$D$8,4,FALSE),"")</x:f>
        <x:v>0.65</x:v>
      </x:c>
      <x:c r="T5" s="23" t="n">
        <x:f>IFERROR(VLOOKUP(K5,'MI5 Scale'!$A$2:$D$8,4,FALSE),"")</x:f>
        <x:v>0.325</x:v>
      </x:c>
      <x:c r="U5" s="23" t="n">
        <x:f>IFERROR(VLOOKUP(L5,'MI5 Scale'!$A$2:$D$8,4,FALSE),"")</x:f>
        <x:v>0.5</x:v>
      </x:c>
      <x:c r="V5" s="23" t="n">
        <x:f>IFERROR(VLOOKUP(M5,'MI5 Scale'!$A$2:$D$8,4,FALSE),"")</x:f>
        <x:v>0.85</x:v>
      </x:c>
      <x:c r="W5" s="23" t="n">
        <x:f>IFERROR(VLOOKUP(N5,'MI5 Scale'!$A$2:$D$8,4,FALSE),"")</x:f>
        <x:v>0.85</x:v>
      </x:c>
      <x:c r="X5" s="23" t="n">
        <x:f>IFERROR(VLOOKUP(O5,'MI5 Scale'!$A$2:$D$8,4,FALSE),"")</x:f>
        <x:v>0.5</x:v>
      </x:c>
      <x:c r="Y5" s="23" t="n">
        <x:f>IFERROR(POWER(P5,$F5/5),"")</x:f>
        <x:v>0.8417155348343195</x:v>
      </x:c>
      <x:c r="Z5" s="23" t="n">
        <x:f>IFERROR(POWER(Q5,$F5/5),"")</x:f>
        <x:v>0.9370603681176802</x:v>
      </x:c>
      <x:c r="AA5" s="23" t="n">
        <x:f>IFERROR(POWER(R5,$F5/5),"")</x:f>
        <x:v>0.8417155348343195</x:v>
      </x:c>
      <x:c r="AB5" s="23" t="n">
        <x:f>IFERROR(POWER(S5,$F5/5),"")</x:f>
        <x:v>0.8417155348343195</x:v>
      </x:c>
      <x:c r="AC5" s="23" t="n">
        <x:f>IFERROR(POWER(T5,$F5/5),"")</x:f>
        <x:v>0.6379010902187691</x:v>
      </x:c>
      <x:c r="AD5" s="23" t="n">
        <x:f>IFERROR(POWER(U5,$F5/5),"")</x:f>
        <x:v>0.757858283255199</x:v>
      </x:c>
      <x:c r="AE5" s="23" t="n">
        <x:f>IFERROR(POWER(V5,$F5/5),"")</x:f>
        <x:v>0.9370603681176802</x:v>
      </x:c>
      <x:c r="AF5" s="23" t="n">
        <x:f>IFERROR(POWER(W5,$F5/5),"")</x:f>
        <x:v>0.9370603681176802</x:v>
      </x:c>
      <x:c r="AG5" s="23" t="n">
        <x:f>IFERROR(POWER(X5,$F5/5),"")</x:f>
        <x:v>0.757858283255199</x:v>
      </x:c>
      <x:c r="AH5" s="22" t="str">
        <x:v>Keep experience valid as data, but separate experience from interpretation.</x:v>
      </x:c>
      <x:c r="AI5" s="20" t="n">
        <x:f>IFERROR(LN(Y5),"")</x:f>
        <x:v>-0.17231316643698166</x:v>
      </x:c>
      <x:c r="AJ5" s="20" t="n">
        <x:f>IFERROR(LN(Z5),"")</x:f>
        <x:v>-0.06500757179910996</x:v>
      </x:c>
      <x:c r="AK5" s="20" t="n">
        <x:f>IFERROR(LN(AA5),"")</x:f>
        <x:v>-0.17231316643698166</x:v>
      </x:c>
      <x:c r="AL5" s="20" t="n">
        <x:f>IFERROR(LN(AB5),"")</x:f>
        <x:v>-0.17231316643698166</x:v>
      </x:c>
      <x:c r="AM5" s="20" t="n">
        <x:f>IFERROR(LN(AC5),"")</x:f>
        <x:v>-0.4495720386609598</x:v>
      </x:c>
      <x:c r="AN5" s="20" t="n">
        <x:f>IFERROR(LN(AD5),"")</x:f>
        <x:v>-0.27725887222397816</x:v>
      </x:c>
      <x:c r="AO5" s="20" t="n">
        <x:f>IFERROR(LN(AE5),"")</x:f>
        <x:v>-0.06500757179910996</x:v>
      </x:c>
      <x:c r="AP5" s="20" t="n">
        <x:f>IFERROR(LN(AF5),"")</x:f>
        <x:v>-0.06500757179910996</x:v>
      </x:c>
      <x:c r="AQ5" s="20" t="n">
        <x:f>IFERROR(LN(AG5),"")</x:f>
        <x:v>-0.27725887222397816</x:v>
      </x:c>
    </x:row>
    <x:row r="6" ht="26.399999618530273" hidden="0" customHeight="1">
      <x:c r="A6" s="22" t="str">
        <x:v>EV003</x:v>
      </x:c>
      <x:c r="B6" s="32" t="n">
        <x:v>46143</x:v>
      </x:c>
      <x:c r="C6" s="22" t="str">
        <x:v>Resurrection / historical Christian origins currently unpersuasive</x:v>
      </x:c>
      <x:c r="D6" s="22" t="str">
        <x:v>E3: Resurrection / History</x:v>
      </x:c>
      <x:c r="E6" s="22" t="str">
        <x:v>Craig, Habermas/Licona rejected; Ehrman persuasive; Wright unread</x:v>
      </x:c>
      <x:c r="F6" s="33" t="n">
        <x:v>3</x:v>
      </x:c>
      <x:c r="G6" s="22" t="str">
        <x:v>Unlikely</x:v>
      </x:c>
      <x:c r="H6" s="22" t="str">
        <x:v>Roughly even chance</x:v>
      </x:c>
      <x:c r="I6" s="22" t="str">
        <x:v>Roughly even chance</x:v>
      </x:c>
      <x:c r="J6" s="22" t="str">
        <x:v>Roughly even chance</x:v>
      </x:c>
      <x:c r="K6" s="22" t="str">
        <x:v>Roughly even chance</x:v>
      </x:c>
      <x:c r="L6" s="22" t="str">
        <x:v>Roughly even chance</x:v>
      </x:c>
      <x:c r="M6" s="22" t="str">
        <x:v>Roughly even chance</x:v>
      </x:c>
      <x:c r="N6" s="22" t="str">
        <x:v>Likely / probable</x:v>
      </x:c>
      <x:c r="O6" s="22" t="str">
        <x:v>Likely / probable</x:v>
      </x:c>
      <x:c r="P6" s="23" t="n">
        <x:f>IFERROR(VLOOKUP(G6,'MI5 Scale'!$A$2:$D$8,4,FALSE),"")</x:f>
        <x:v>0.325</x:v>
      </x:c>
      <x:c r="Q6" s="23" t="n">
        <x:f>IFERROR(VLOOKUP(H6,'MI5 Scale'!$A$2:$D$8,4,FALSE),"")</x:f>
        <x:v>0.5</x:v>
      </x:c>
      <x:c r="R6" s="23" t="n">
        <x:f>IFERROR(VLOOKUP(I6,'MI5 Scale'!$A$2:$D$8,4,FALSE),"")</x:f>
        <x:v>0.5</x:v>
      </x:c>
      <x:c r="S6" s="23" t="n">
        <x:f>IFERROR(VLOOKUP(J6,'MI5 Scale'!$A$2:$D$8,4,FALSE),"")</x:f>
        <x:v>0.5</x:v>
      </x:c>
      <x:c r="T6" s="23" t="n">
        <x:f>IFERROR(VLOOKUP(K6,'MI5 Scale'!$A$2:$D$8,4,FALSE),"")</x:f>
        <x:v>0.5</x:v>
      </x:c>
      <x:c r="U6" s="23" t="n">
        <x:f>IFERROR(VLOOKUP(L6,'MI5 Scale'!$A$2:$D$8,4,FALSE),"")</x:f>
        <x:v>0.5</x:v>
      </x:c>
      <x:c r="V6" s="23" t="n">
        <x:f>IFERROR(VLOOKUP(M6,'MI5 Scale'!$A$2:$D$8,4,FALSE),"")</x:f>
        <x:v>0.5</x:v>
      </x:c>
      <x:c r="W6" s="23" t="n">
        <x:f>IFERROR(VLOOKUP(N6,'MI5 Scale'!$A$2:$D$8,4,FALSE),"")</x:f>
        <x:v>0.65</x:v>
      </x:c>
      <x:c r="X6" s="23" t="n">
        <x:f>IFERROR(VLOOKUP(O6,'MI5 Scale'!$A$2:$D$8,4,FALSE),"")</x:f>
        <x:v>0.65</x:v>
      </x:c>
      <x:c r="Y6" s="23" t="n">
        <x:f>IFERROR(POWER(P6,$F6/5),"")</x:f>
        <x:v>0.5094833744343357</x:v>
      </x:c>
      <x:c r="Z6" s="23" t="n">
        <x:f>IFERROR(POWER(Q6,$F6/5),"")</x:f>
        <x:v>0.6597539553864471</x:v>
      </x:c>
      <x:c r="AA6" s="23" t="n">
        <x:f>IFERROR(POWER(R6,$F6/5),"")</x:f>
        <x:v>0.6597539553864471</x:v>
      </x:c>
      <x:c r="AB6" s="23" t="n">
        <x:f>IFERROR(POWER(S6,$F6/5),"")</x:f>
        <x:v>0.6597539553864471</x:v>
      </x:c>
      <x:c r="AC6" s="23" t="n">
        <x:f>IFERROR(POWER(T6,$F6/5),"")</x:f>
        <x:v>0.6597539553864471</x:v>
      </x:c>
      <x:c r="AD6" s="23" t="n">
        <x:f>IFERROR(POWER(U6,$F6/5),"")</x:f>
        <x:v>0.6597539553864471</x:v>
      </x:c>
      <x:c r="AE6" s="23" t="n">
        <x:f>IFERROR(POWER(V6,$F6/5),"")</x:f>
        <x:v>0.6597539553864471</x:v>
      </x:c>
      <x:c r="AF6" s="23" t="n">
        <x:f>IFERROR(POWER(W6,$F6/5),"")</x:f>
        <x:v>0.7722323909917427</x:v>
      </x:c>
      <x:c r="AG6" s="23" t="n">
        <x:f>IFERROR(POWER(X6,$F6/5),"")</x:f>
        <x:v>0.7722323909917427</x:v>
      </x:c>
      <x:c r="AH6" s="22" t="str">
        <x:v>Revisit after Wright, Crossan, Evans, Wallace.</x:v>
      </x:c>
      <x:c r="AI6" s="20" t="n">
        <x:f>IFERROR(LN(Y6),"")</x:f>
        <x:v>-0.6743580579914397</x:v>
      </x:c>
      <x:c r="AJ6" s="20" t="n">
        <x:f>IFERROR(LN(Z6),"")</x:f>
        <x:v>-0.41588830833596724</x:v>
      </x:c>
      <x:c r="AK6" s="20" t="n">
        <x:f>IFERROR(LN(AA6),"")</x:f>
        <x:v>-0.41588830833596724</x:v>
      </x:c>
      <x:c r="AL6" s="20" t="n">
        <x:f>IFERROR(LN(AB6),"")</x:f>
        <x:v>-0.41588830833596724</x:v>
      </x:c>
      <x:c r="AM6" s="20" t="n">
        <x:f>IFERROR(LN(AC6),"")</x:f>
        <x:v>-0.41588830833596724</x:v>
      </x:c>
      <x:c r="AN6" s="20" t="n">
        <x:f>IFERROR(LN(AD6),"")</x:f>
        <x:v>-0.41588830833596724</x:v>
      </x:c>
      <x:c r="AO6" s="20" t="n">
        <x:f>IFERROR(LN(AE6),"")</x:f>
        <x:v>-0.41588830833596724</x:v>
      </x:c>
      <x:c r="AP6" s="20" t="n">
        <x:f>IFERROR(LN(AF6),"")</x:f>
        <x:v>-0.2584697496554726</x:v>
      </x:c>
      <x:c r="AQ6" s="20" t="n">
        <x:f>IFERROR(LN(AG6),"")</x:f>
        <x:v>-0.2584697496554726</x:v>
      </x:c>
    </x:row>
    <x:row r="7" ht="26.399999618530273" hidden="0" customHeight="1">
      <x:c r="A7" s="22" t="str">
        <x:v>EV004</x:v>
      </x:c>
      <x:c r="B7" s="32" t="n">
        <x:v>46143</x:v>
      </x:c>
      <x:c r="C7" s="22" t="str">
        <x:v>Consciousness currently seems explainable naturalistically, but hard problem unresolved</x:v>
      </x:c>
      <x:c r="D7" s="22" t="str">
        <x:v>E4: Consciousness</x:v>
      </x:c>
      <x:c r="E7" s="22" t="str">
        <x:v>Kenneth Miller read; Chalmers/Nagel not yet engaged</x:v>
      </x:c>
      <x:c r="F7" s="33" t="n">
        <x:v>2</x:v>
      </x:c>
      <x:c r="G7" s="22" t="str">
        <x:v>Roughly even chance</x:v>
      </x:c>
      <x:c r="H7" s="22" t="str">
        <x:v>Roughly even chance</x:v>
      </x:c>
      <x:c r="I7" s="22" t="str">
        <x:v>Likely / probable</x:v>
      </x:c>
      <x:c r="J7" s="22" t="str">
        <x:v>Likely / probable</x:v>
      </x:c>
      <x:c r="K7" s="22" t="str">
        <x:v>Roughly even chance</x:v>
      </x:c>
      <x:c r="L7" s="22" t="str">
        <x:v>Highly likely</x:v>
      </x:c>
      <x:c r="M7" s="22" t="str">
        <x:v>Likely / probable</x:v>
      </x:c>
      <x:c r="N7" s="22" t="str">
        <x:v>Roughly even chance</x:v>
      </x:c>
      <x:c r="O7" s="22" t="str">
        <x:v>Roughly even chance</x:v>
      </x:c>
      <x:c r="P7" s="23" t="n">
        <x:f>IFERROR(VLOOKUP(G7,'MI5 Scale'!$A$2:$D$8,4,FALSE),"")</x:f>
        <x:v>0.5</x:v>
      </x:c>
      <x:c r="Q7" s="23" t="n">
        <x:f>IFERROR(VLOOKUP(H7,'MI5 Scale'!$A$2:$D$8,4,FALSE),"")</x:f>
        <x:v>0.5</x:v>
      </x:c>
      <x:c r="R7" s="23" t="n">
        <x:f>IFERROR(VLOOKUP(I7,'MI5 Scale'!$A$2:$D$8,4,FALSE),"")</x:f>
        <x:v>0.65</x:v>
      </x:c>
      <x:c r="S7" s="23" t="n">
        <x:f>IFERROR(VLOOKUP(J7,'MI5 Scale'!$A$2:$D$8,4,FALSE),"")</x:f>
        <x:v>0.65</x:v>
      </x:c>
      <x:c r="T7" s="23" t="n">
        <x:f>IFERROR(VLOOKUP(K7,'MI5 Scale'!$A$2:$D$8,4,FALSE),"")</x:f>
        <x:v>0.5</x:v>
      </x:c>
      <x:c r="U7" s="23" t="n">
        <x:f>IFERROR(VLOOKUP(L7,'MI5 Scale'!$A$2:$D$8,4,FALSE),"")</x:f>
        <x:v>0.85</x:v>
      </x:c>
      <x:c r="V7" s="23" t="n">
        <x:f>IFERROR(VLOOKUP(M7,'MI5 Scale'!$A$2:$D$8,4,FALSE),"")</x:f>
        <x:v>0.65</x:v>
      </x:c>
      <x:c r="W7" s="23" t="n">
        <x:f>IFERROR(VLOOKUP(N7,'MI5 Scale'!$A$2:$D$8,4,FALSE),"")</x:f>
        <x:v>0.5</x:v>
      </x:c>
      <x:c r="X7" s="23" t="n">
        <x:f>IFERROR(VLOOKUP(O7,'MI5 Scale'!$A$2:$D$8,4,FALSE),"")</x:f>
        <x:v>0.5</x:v>
      </x:c>
      <x:c r="Y7" s="23" t="n">
        <x:f>IFERROR(POWER(P7,$F7/5),"")</x:f>
        <x:v>0.757858283255199</x:v>
      </x:c>
      <x:c r="Z7" s="23" t="n">
        <x:f>IFERROR(POWER(Q7,$F7/5),"")</x:f>
        <x:v>0.757858283255199</x:v>
      </x:c>
      <x:c r="AA7" s="23" t="n">
        <x:f>IFERROR(POWER(R7,$F7/5),"")</x:f>
        <x:v>0.8417155348343195</x:v>
      </x:c>
      <x:c r="AB7" s="23" t="n">
        <x:f>IFERROR(POWER(S7,$F7/5),"")</x:f>
        <x:v>0.8417155348343195</x:v>
      </x:c>
      <x:c r="AC7" s="23" t="n">
        <x:f>IFERROR(POWER(T7,$F7/5),"")</x:f>
        <x:v>0.757858283255199</x:v>
      </x:c>
      <x:c r="AD7" s="23" t="n">
        <x:f>IFERROR(POWER(U7,$F7/5),"")</x:f>
        <x:v>0.9370603681176802</x:v>
      </x:c>
      <x:c r="AE7" s="23" t="n">
        <x:f>IFERROR(POWER(V7,$F7/5),"")</x:f>
        <x:v>0.8417155348343195</x:v>
      </x:c>
      <x:c r="AF7" s="23" t="n">
        <x:f>IFERROR(POWER(W7,$F7/5),"")</x:f>
        <x:v>0.757858283255199</x:v>
      </x:c>
      <x:c r="AG7" s="23" t="n">
        <x:f>IFERROR(POWER(X7,$F7/5),"")</x:f>
        <x:v>0.757858283255199</x:v>
      </x:c>
      <x:c r="AH7" s="22" t="str">
        <x:v>Current weight is deliberately modest because your evidence set is incomplete.</x:v>
      </x:c>
      <x:c r="AI7" s="20" t="n">
        <x:f>IFERROR(LN(Y7),"")</x:f>
        <x:v>-0.27725887222397816</x:v>
      </x:c>
      <x:c r="AJ7" s="20" t="n">
        <x:f>IFERROR(LN(Z7),"")</x:f>
        <x:v>-0.27725887222397816</x:v>
      </x:c>
      <x:c r="AK7" s="20" t="n">
        <x:f>IFERROR(LN(AA7),"")</x:f>
        <x:v>-0.17231316643698166</x:v>
      </x:c>
      <x:c r="AL7" s="20" t="n">
        <x:f>IFERROR(LN(AB7),"")</x:f>
        <x:v>-0.17231316643698166</x:v>
      </x:c>
      <x:c r="AM7" s="20" t="n">
        <x:f>IFERROR(LN(AC7),"")</x:f>
        <x:v>-0.27725887222397816</x:v>
      </x:c>
      <x:c r="AN7" s="20" t="n">
        <x:f>IFERROR(LN(AD7),"")</x:f>
        <x:v>-0.06500757179910996</x:v>
      </x:c>
      <x:c r="AO7" s="20" t="n">
        <x:f>IFERROR(LN(AE7),"")</x:f>
        <x:v>-0.17231316643698166</x:v>
      </x:c>
      <x:c r="AP7" s="20" t="n">
        <x:f>IFERROR(LN(AF7),"")</x:f>
        <x:v>-0.27725887222397816</x:v>
      </x:c>
      <x:c r="AQ7" s="20" t="n">
        <x:f>IFERROR(LN(AG7),"")</x:f>
        <x:v>-0.27725887222397816</x:v>
      </x:c>
    </x:row>
    <x:row r="8" ht="26.399999618530273" hidden="0" customHeight="1">
      <x:c r="A8" s="22" t="str">
        <x:v>EV005</x:v>
      </x:c>
      <x:c r="B8" s="32" t="n">
        <x:v>46143</x:v>
      </x:c>
      <x:c r="C8" s="22" t="str">
        <x:v>Moral intuition, human dignity, harm, flourishing</x:v>
      </x:c>
      <x:c r="D8" s="22" t="str">
        <x:v>E5: Moral Intuition / Value</x:v>
      </x:c>
      <x:c r="E8" s="22" t="str">
        <x:v>Slavery critique, suffering, moral realism tension</x:v>
      </x:c>
      <x:c r="F8" s="33" t="n">
        <x:v>4</x:v>
      </x:c>
      <x:c r="G8" s="22" t="str">
        <x:v>Likely / probable</x:v>
      </x:c>
      <x:c r="H8" s="22" t="str">
        <x:v>Highly likely</x:v>
      </x:c>
      <x:c r="I8" s="22" t="str">
        <x:v>Highly likely</x:v>
      </x:c>
      <x:c r="J8" s="22" t="str">
        <x:v>Highly likely</x:v>
      </x:c>
      <x:c r="K8" s="22" t="str">
        <x:v>Roughly even chance</x:v>
      </x:c>
      <x:c r="L8" s="22" t="str">
        <x:v>Likely / probable</x:v>
      </x:c>
      <x:c r="M8" s="22" t="str">
        <x:v>Likely / probable</x:v>
      </x:c>
      <x:c r="N8" s="22" t="str">
        <x:v>Likely / probable</x:v>
      </x:c>
      <x:c r="O8" s="22" t="str">
        <x:v>Unlikely</x:v>
      </x:c>
      <x:c r="P8" s="23" t="n">
        <x:f>IFERROR(VLOOKUP(G8,'MI5 Scale'!$A$2:$D$8,4,FALSE),"")</x:f>
        <x:v>0.65</x:v>
      </x:c>
      <x:c r="Q8" s="23" t="n">
        <x:f>IFERROR(VLOOKUP(H8,'MI5 Scale'!$A$2:$D$8,4,FALSE),"")</x:f>
        <x:v>0.85</x:v>
      </x:c>
      <x:c r="R8" s="23" t="n">
        <x:f>IFERROR(VLOOKUP(I8,'MI5 Scale'!$A$2:$D$8,4,FALSE),"")</x:f>
        <x:v>0.85</x:v>
      </x:c>
      <x:c r="S8" s="23" t="n">
        <x:f>IFERROR(VLOOKUP(J8,'MI5 Scale'!$A$2:$D$8,4,FALSE),"")</x:f>
        <x:v>0.85</x:v>
      </x:c>
      <x:c r="T8" s="23" t="n">
        <x:f>IFERROR(VLOOKUP(K8,'MI5 Scale'!$A$2:$D$8,4,FALSE),"")</x:f>
        <x:v>0.5</x:v>
      </x:c>
      <x:c r="U8" s="23" t="n">
        <x:f>IFERROR(VLOOKUP(L8,'MI5 Scale'!$A$2:$D$8,4,FALSE),"")</x:f>
        <x:v>0.65</x:v>
      </x:c>
      <x:c r="V8" s="23" t="n">
        <x:f>IFERROR(VLOOKUP(M8,'MI5 Scale'!$A$2:$D$8,4,FALSE),"")</x:f>
        <x:v>0.65</x:v>
      </x:c>
      <x:c r="W8" s="23" t="n">
        <x:f>IFERROR(VLOOKUP(N8,'MI5 Scale'!$A$2:$D$8,4,FALSE),"")</x:f>
        <x:v>0.65</x:v>
      </x:c>
      <x:c r="X8" s="23" t="n">
        <x:f>IFERROR(VLOOKUP(O8,'MI5 Scale'!$A$2:$D$8,4,FALSE),"")</x:f>
        <x:v>0.325</x:v>
      </x:c>
      <x:c r="Y8" s="23" t="n">
        <x:f>IFERROR(POWER(P8,$F8/5),"")</x:f>
        <x:v>0.7084850415814244</x:v>
      </x:c>
      <x:c r="Z8" s="23" t="n">
        <x:f>IFERROR(POWER(Q8,$F8/5),"")</x:f>
        <x:v>0.8780821334968424</x:v>
      </x:c>
      <x:c r="AA8" s="23" t="n">
        <x:f>IFERROR(POWER(R8,$F8/5),"")</x:f>
        <x:v>0.8780821334968424</x:v>
      </x:c>
      <x:c r="AB8" s="23" t="n">
        <x:f>IFERROR(POWER(S8,$F8/5),"")</x:f>
        <x:v>0.8780821334968424</x:v>
      </x:c>
      <x:c r="AC8" s="23" t="n">
        <x:f>IFERROR(POWER(T8,$F8/5),"")</x:f>
        <x:v>0.5743491774985174</x:v>
      </x:c>
      <x:c r="AD8" s="23" t="n">
        <x:f>IFERROR(POWER(U8,$F8/5),"")</x:f>
        <x:v>0.7084850415814244</x:v>
      </x:c>
      <x:c r="AE8" s="23" t="n">
        <x:f>IFERROR(POWER(V8,$F8/5),"")</x:f>
        <x:v>0.7084850415814244</x:v>
      </x:c>
      <x:c r="AF8" s="23" t="n">
        <x:f>IFERROR(POWER(W8,$F8/5),"")</x:f>
        <x:v>0.7084850415814244</x:v>
      </x:c>
      <x:c r="AG8" s="23" t="n">
        <x:f>IFERROR(POWER(X8,$F8/5),"")</x:f>
        <x:v>0.4069178009022941</x:v>
      </x:c>
      <x:c r="AH8" s="22" t="str">
        <x:v>Naturalism can explain moral psychology; moral realism remains unresolved.</x:v>
      </x:c>
      <x:c r="AI8" s="20" t="n">
        <x:f>IFERROR(LN(Y8),"")</x:f>
        <x:v>-0.34462633287396344</x:v>
      </x:c>
      <x:c r="AJ8" s="20" t="n">
        <x:f>IFERROR(LN(Z8),"")</x:f>
        <x:v>-0.13001514359821992</x:v>
      </x:c>
      <x:c r="AK8" s="20" t="n">
        <x:f>IFERROR(LN(AA8),"")</x:f>
        <x:v>-0.13001514359821992</x:v>
      </x:c>
      <x:c r="AL8" s="20" t="n">
        <x:f>IFERROR(LN(AB8),"")</x:f>
        <x:v>-0.13001514359821992</x:v>
      </x:c>
      <x:c r="AM8" s="20" t="n">
        <x:f>IFERROR(LN(AC8),"")</x:f>
        <x:v>-0.5545177444479563</x:v>
      </x:c>
      <x:c r="AN8" s="20" t="n">
        <x:f>IFERROR(LN(AD8),"")</x:f>
        <x:v>-0.34462633287396344</x:v>
      </x:c>
      <x:c r="AO8" s="20" t="n">
        <x:f>IFERROR(LN(AE8),"")</x:f>
        <x:v>-0.34462633287396344</x:v>
      </x:c>
      <x:c r="AP8" s="20" t="n">
        <x:f>IFERROR(LN(AF8),"")</x:f>
        <x:v>-0.34462633287396344</x:v>
      </x:c>
      <x:c r="AQ8" s="20" t="n">
        <x:f>IFERROR(LN(AG8),"")</x:f>
        <x:v>-0.8991440773219196</x:v>
      </x:c>
    </x:row>
    <x:row r="9" ht="15" hidden="0" customHeight="1">
      <x:c r="A9" s="22" t="str">
        <x:v>EV006</x:v>
      </x:c>
      <x:c r="B9" s="32"/>
      <x:c r="C9" s="22" t="str">
        <x:v>God’s goodness is challenged by severe suffering</x:v>
      </x:c>
      <x:c r="D9" s="22" t="str">
        <x:v>God</x:v>
      </x:c>
      <x:c r="E9" s="22" t="str">
        <x:v>Personal / Philosophy</x:v>
      </x:c>
      <x:c r="F9" s="33" t="n">
        <x:v>4</x:v>
      </x:c>
      <x:c r="G9" s="22" t="str">
        <x:v>Highly unlikely</x:v>
      </x:c>
      <x:c r="H9" s="22" t="str">
        <x:v>Unlikely</x:v>
      </x:c>
      <x:c r="I9" s="22" t="str">
        <x:v>Likely / probable</x:v>
      </x:c>
      <x:c r="J9" s="22" t="str">
        <x:v>Unlikely</x:v>
      </x:c>
      <x:c r="K9" s="22" t="str">
        <x:v>Roughly even chance</x:v>
      </x:c>
      <x:c r="L9" s="22" t="str">
        <x:v>Roughly even chance</x:v>
      </x:c>
      <x:c r="M9" s="22" t="str">
        <x:v>Roughly even chance</x:v>
      </x:c>
      <x:c r="N9" s="22" t="str">
        <x:v>Roughly even chance</x:v>
      </x:c>
      <x:c r="O9" s="22" t="str">
        <x:v>Likely / probable</x:v>
      </x:c>
      <x:c r="P9" s="23" t="n">
        <x:f>IFERROR(VLOOKUP(G9,'MI5 Scale'!$A$2:$D$8,4,FALSE),"")</x:f>
        <x:v>0.125</x:v>
      </x:c>
      <x:c r="Q9" s="23" t="n">
        <x:f>IFERROR(VLOOKUP(H9,'MI5 Scale'!$A$2:$D$8,4,FALSE),"")</x:f>
        <x:v>0.325</x:v>
      </x:c>
      <x:c r="R9" s="23" t="n">
        <x:f>IFERROR(VLOOKUP(I9,'MI5 Scale'!$A$2:$D$8,4,FALSE),"")</x:f>
        <x:v>0.65</x:v>
      </x:c>
      <x:c r="S9" s="23" t="n">
        <x:f>IFERROR(VLOOKUP(J9,'MI5 Scale'!$A$2:$D$8,4,FALSE),"")</x:f>
        <x:v>0.325</x:v>
      </x:c>
      <x:c r="T9" s="23" t="n">
        <x:f>IFERROR(VLOOKUP(K9,'MI5 Scale'!$A$2:$D$8,4,FALSE),"")</x:f>
        <x:v>0.5</x:v>
      </x:c>
      <x:c r="U9" s="23" t="n">
        <x:f>IFERROR(VLOOKUP(L9,'MI5 Scale'!$A$2:$D$8,4,FALSE),"")</x:f>
        <x:v>0.5</x:v>
      </x:c>
      <x:c r="V9" s="23" t="n">
        <x:f>IFERROR(VLOOKUP(M9,'MI5 Scale'!$A$2:$D$8,4,FALSE),"")</x:f>
        <x:v>0.5</x:v>
      </x:c>
      <x:c r="W9" s="23" t="n">
        <x:f>IFERROR(VLOOKUP(N9,'MI5 Scale'!$A$2:$D$8,4,FALSE),"")</x:f>
        <x:v>0.5</x:v>
      </x:c>
      <x:c r="X9" s="23" t="n">
        <x:f>IFERROR(VLOOKUP(O9,'MI5 Scale'!$A$2:$D$8,4,FALSE),"")</x:f>
        <x:v>0.65</x:v>
      </x:c>
      <x:c r="Y9" s="23" t="n">
        <x:f>IFERROR(POWER(P9,$F9/5),"")</x:f>
        <x:v>0.18946457081379975</x:v>
      </x:c>
      <x:c r="Z9" s="23" t="n">
        <x:f>IFERROR(POWER(Q9,$F9/5),"")</x:f>
        <x:v>0.4069178009022941</x:v>
      </x:c>
      <x:c r="AA9" s="23" t="n">
        <x:f>IFERROR(POWER(R9,$F9/5),"")</x:f>
        <x:v>0.7084850415814244</x:v>
      </x:c>
      <x:c r="AB9" s="23" t="n">
        <x:f>IFERROR(POWER(S9,$F9/5),"")</x:f>
        <x:v>0.4069178009022941</x:v>
      </x:c>
      <x:c r="AC9" s="23" t="n">
        <x:f>IFERROR(POWER(T9,$F9/5),"")</x:f>
        <x:v>0.5743491774985174</x:v>
      </x:c>
      <x:c r="AD9" s="23" t="n">
        <x:f>IFERROR(POWER(U9,$F9/5),"")</x:f>
        <x:v>0.5743491774985174</x:v>
      </x:c>
      <x:c r="AE9" s="23" t="n">
        <x:f>IFERROR(POWER(V9,$F9/5),"")</x:f>
        <x:v>0.5743491774985174</x:v>
      </x:c>
      <x:c r="AF9" s="23" t="n">
        <x:f>IFERROR(POWER(W9,$F9/5),"")</x:f>
        <x:v>0.5743491774985174</x:v>
      </x:c>
      <x:c r="AG9" s="23" t="n">
        <x:f>IFERROR(POWER(X9,$F9/5),"")</x:f>
        <x:v>0.7084850415814244</x:v>
      </x:c>
      <x:c r="AH9" s="22" t="str">
        <x:v>Problem of evil</x:v>
      </x:c>
      <x:c r="AI9" s="20" t="n">
        <x:f>IFERROR(LN(Y9),"")</x:f>
        <x:v>-1.6635532333438687</x:v>
      </x:c>
      <x:c r="AJ9" s="20" t="n">
        <x:f>IFERROR(LN(Z9),"")</x:f>
        <x:v>-0.8991440773219196</x:v>
      </x:c>
      <x:c r="AK9" s="20" t="n">
        <x:f>IFERROR(LN(AA9),"")</x:f>
        <x:v>-0.34462633287396344</x:v>
      </x:c>
      <x:c r="AL9" s="20" t="n">
        <x:f>IFERROR(LN(AB9),"")</x:f>
        <x:v>-0.8991440773219196</x:v>
      </x:c>
      <x:c r="AM9" s="20" t="n">
        <x:f>IFERROR(LN(AC9),"")</x:f>
        <x:v>-0.5545177444479563</x:v>
      </x:c>
      <x:c r="AN9" s="20" t="n">
        <x:f>IFERROR(LN(AD9),"")</x:f>
        <x:v>-0.5545177444479563</x:v>
      </x:c>
      <x:c r="AO9" s="20" t="n">
        <x:f>IFERROR(LN(AE9),"")</x:f>
        <x:v>-0.5545177444479563</x:v>
      </x:c>
      <x:c r="AP9" s="20" t="n">
        <x:f>IFERROR(LN(AF9),"")</x:f>
        <x:v>-0.5545177444479563</x:v>
      </x:c>
      <x:c r="AQ9" s="20" t="n">
        <x:f>IFERROR(LN(AG9),"")</x:f>
        <x:v>-0.34462633287396344</x:v>
      </x:c>
    </x:row>
    <x:row r="10" ht="26.399999618530273" hidden="0" customHeight="1">
      <x:c r="A10" s="22" t="str">
        <x:v>EV007</x:v>
      </x:c>
      <x:c r="B10" s="32"/>
      <x:c r="C10" s="22" t="str">
        <x:v>Divine hiddenness (God wants relationship but remains hidden)</x:v>
      </x:c>
      <x:c r="D10" s="22" t="str">
        <x:v>God</x:v>
      </x:c>
      <x:c r="E10" s="22" t="str">
        <x:v>Personal Experience</x:v>
      </x:c>
      <x:c r="F10" s="33" t="n">
        <x:v>4</x:v>
      </x:c>
      <x:c r="G10" s="22" t="str">
        <x:v>Highly unlikely</x:v>
      </x:c>
      <x:c r="H10" s="22" t="str">
        <x:v>Unlikely</x:v>
      </x:c>
      <x:c r="I10" s="22" t="str">
        <x:v>Roughly even chance</x:v>
      </x:c>
      <x:c r="J10" s="22" t="str">
        <x:v>Unlikely</x:v>
      </x:c>
      <x:c r="K10" s="22" t="str">
        <x:v>Likely / probable</x:v>
      </x:c>
      <x:c r="L10" s="22" t="str">
        <x:v>Roughly even chance</x:v>
      </x:c>
      <x:c r="M10" s="22" t="str">
        <x:v>Roughly even chance</x:v>
      </x:c>
      <x:c r="N10" s="22" t="str">
        <x:v>Likely / probable</x:v>
      </x:c>
      <x:c r="O10" s="22" t="str">
        <x:v>Likely / probable</x:v>
      </x:c>
      <x:c r="P10" s="23" t="n">
        <x:f>IFERROR(VLOOKUP(G10,'MI5 Scale'!$A$2:$D$8,4,FALSE),"")</x:f>
        <x:v>0.125</x:v>
      </x:c>
      <x:c r="Q10" s="23" t="n">
        <x:f>IFERROR(VLOOKUP(H10,'MI5 Scale'!$A$2:$D$8,4,FALSE),"")</x:f>
        <x:v>0.325</x:v>
      </x:c>
      <x:c r="R10" s="23" t="n">
        <x:f>IFERROR(VLOOKUP(I10,'MI5 Scale'!$A$2:$D$8,4,FALSE),"")</x:f>
        <x:v>0.5</x:v>
      </x:c>
      <x:c r="S10" s="23" t="n">
        <x:f>IFERROR(VLOOKUP(J10,'MI5 Scale'!$A$2:$D$8,4,FALSE),"")</x:f>
        <x:v>0.325</x:v>
      </x:c>
      <x:c r="T10" s="23" t="n">
        <x:f>IFERROR(VLOOKUP(K10,'MI5 Scale'!$A$2:$D$8,4,FALSE),"")</x:f>
        <x:v>0.65</x:v>
      </x:c>
      <x:c r="U10" s="23" t="n">
        <x:f>IFERROR(VLOOKUP(L10,'MI5 Scale'!$A$2:$D$8,4,FALSE),"")</x:f>
        <x:v>0.5</x:v>
      </x:c>
      <x:c r="V10" s="23" t="n">
        <x:f>IFERROR(VLOOKUP(M10,'MI5 Scale'!$A$2:$D$8,4,FALSE),"")</x:f>
        <x:v>0.5</x:v>
      </x:c>
      <x:c r="W10" s="23" t="n">
        <x:f>IFERROR(VLOOKUP(N10,'MI5 Scale'!$A$2:$D$8,4,FALSE),"")</x:f>
        <x:v>0.65</x:v>
      </x:c>
      <x:c r="X10" s="23" t="n">
        <x:f>IFERROR(VLOOKUP(O10,'MI5 Scale'!$A$2:$D$8,4,FALSE),"")</x:f>
        <x:v>0.65</x:v>
      </x:c>
      <x:c r="Y10" s="23" t="n">
        <x:f>IFERROR(POWER(P10,$F10/5),"")</x:f>
        <x:v>0.18946457081379975</x:v>
      </x:c>
      <x:c r="Z10" s="23" t="n">
        <x:f>IFERROR(POWER(Q10,$F10/5),"")</x:f>
        <x:v>0.4069178009022941</x:v>
      </x:c>
      <x:c r="AA10" s="23" t="n">
        <x:f>IFERROR(POWER(R10,$F10/5),"")</x:f>
        <x:v>0.5743491774985174</x:v>
      </x:c>
      <x:c r="AB10" s="23" t="n">
        <x:f>IFERROR(POWER(S10,$F10/5),"")</x:f>
        <x:v>0.4069178009022941</x:v>
      </x:c>
      <x:c r="AC10" s="23" t="n">
        <x:f>IFERROR(POWER(T10,$F10/5),"")</x:f>
        <x:v>0.7084850415814244</x:v>
      </x:c>
      <x:c r="AD10" s="23" t="n">
        <x:f>IFERROR(POWER(U10,$F10/5),"")</x:f>
        <x:v>0.5743491774985174</x:v>
      </x:c>
      <x:c r="AE10" s="23" t="n">
        <x:f>IFERROR(POWER(V10,$F10/5),"")</x:f>
        <x:v>0.5743491774985174</x:v>
      </x:c>
      <x:c r="AF10" s="23" t="n">
        <x:f>IFERROR(POWER(W10,$F10/5),"")</x:f>
        <x:v>0.7084850415814244</x:v>
      </x:c>
      <x:c r="AG10" s="23" t="n">
        <x:f>IFERROR(POWER(X10,$F10/5),"")</x:f>
        <x:v>0.7084850415814244</x:v>
      </x:c>
      <x:c r="AH10" s="22" t="str">
        <x:v>Hiddenness problem</x:v>
      </x:c>
      <x:c r="AI10" s="20" t="n">
        <x:f>IFERROR(LN(Y10),"")</x:f>
        <x:v>-1.6635532333438687</x:v>
      </x:c>
      <x:c r="AJ10" s="20" t="n">
        <x:f>IFERROR(LN(Z10),"")</x:f>
        <x:v>-0.8991440773219196</x:v>
      </x:c>
      <x:c r="AK10" s="20" t="n">
        <x:f>IFERROR(LN(AA10),"")</x:f>
        <x:v>-0.5545177444479563</x:v>
      </x:c>
      <x:c r="AL10" s="20" t="n">
        <x:f>IFERROR(LN(AB10),"")</x:f>
        <x:v>-0.8991440773219196</x:v>
      </x:c>
      <x:c r="AM10" s="20" t="n">
        <x:f>IFERROR(LN(AC10),"")</x:f>
        <x:v>-0.34462633287396344</x:v>
      </x:c>
      <x:c r="AN10" s="20" t="n">
        <x:f>IFERROR(LN(AD10),"")</x:f>
        <x:v>-0.5545177444479563</x:v>
      </x:c>
      <x:c r="AO10" s="20" t="n">
        <x:f>IFERROR(LN(AE10),"")</x:f>
        <x:v>-0.5545177444479563</x:v>
      </x:c>
      <x:c r="AP10" s="20" t="n">
        <x:f>IFERROR(LN(AF10),"")</x:f>
        <x:v>-0.34462633287396344</x:v>
      </x:c>
      <x:c r="AQ10" s="20" t="n">
        <x:f>IFERROR(LN(AG10),"")</x:f>
        <x:v>-0.34462633287396344</x:v>
      </x:c>
    </x:row>
    <x:row r="11" ht="15" hidden="0" customHeight="1">
      <x:c r="A11" s="22" t="str">
        <x:v>EV008</x:v>
      </x:c>
      <x:c r="B11" s="32"/>
      <x:c r="C11" s="22" t="str">
        <x:v>Life events contradict idea of a personal divine plan</x:v>
      </x:c>
      <x:c r="D11" s="22" t="str">
        <x:v>God</x:v>
      </x:c>
      <x:c r="E11" s="22" t="str">
        <x:v>Personal Experience</x:v>
      </x:c>
      <x:c r="F11" s="33" t="n">
        <x:v>3</x:v>
      </x:c>
      <x:c r="G11" s="22" t="str">
        <x:v>Highly unlikely</x:v>
      </x:c>
      <x:c r="H11" s="22" t="str">
        <x:v>Roughly even chance</x:v>
      </x:c>
      <x:c r="I11" s="22" t="str">
        <x:v>Likely / probable</x:v>
      </x:c>
      <x:c r="J11" s="22" t="str">
        <x:v>Unlikely</x:v>
      </x:c>
      <x:c r="K11" s="22" t="str">
        <x:v>Likely / probable</x:v>
      </x:c>
      <x:c r="L11" s="22" t="str">
        <x:v>Roughly even chance</x:v>
      </x:c>
      <x:c r="M11" s="22" t="str">
        <x:v>Roughly even chance</x:v>
      </x:c>
      <x:c r="N11" s="22" t="str">
        <x:v>Likely / probable</x:v>
      </x:c>
      <x:c r="O11" s="22" t="str">
        <x:v>Likely / probable</x:v>
      </x:c>
      <x:c r="P11" s="23" t="n">
        <x:f>IFERROR(VLOOKUP(G11,'MI5 Scale'!$A$2:$D$8,4,FALSE),"")</x:f>
        <x:v>0.125</x:v>
      </x:c>
      <x:c r="Q11" s="23" t="n">
        <x:f>IFERROR(VLOOKUP(H11,'MI5 Scale'!$A$2:$D$8,4,FALSE),"")</x:f>
        <x:v>0.5</x:v>
      </x:c>
      <x:c r="R11" s="23" t="n">
        <x:f>IFERROR(VLOOKUP(I11,'MI5 Scale'!$A$2:$D$8,4,FALSE),"")</x:f>
        <x:v>0.65</x:v>
      </x:c>
      <x:c r="S11" s="23" t="n">
        <x:f>IFERROR(VLOOKUP(J11,'MI5 Scale'!$A$2:$D$8,4,FALSE),"")</x:f>
        <x:v>0.325</x:v>
      </x:c>
      <x:c r="T11" s="23" t="n">
        <x:f>IFERROR(VLOOKUP(K11,'MI5 Scale'!$A$2:$D$8,4,FALSE),"")</x:f>
        <x:v>0.65</x:v>
      </x:c>
      <x:c r="U11" s="23" t="n">
        <x:f>IFERROR(VLOOKUP(L11,'MI5 Scale'!$A$2:$D$8,4,FALSE),"")</x:f>
        <x:v>0.5</x:v>
      </x:c>
      <x:c r="V11" s="23" t="n">
        <x:f>IFERROR(VLOOKUP(M11,'MI5 Scale'!$A$2:$D$8,4,FALSE),"")</x:f>
        <x:v>0.5</x:v>
      </x:c>
      <x:c r="W11" s="23" t="n">
        <x:f>IFERROR(VLOOKUP(N11,'MI5 Scale'!$A$2:$D$8,4,FALSE),"")</x:f>
        <x:v>0.65</x:v>
      </x:c>
      <x:c r="X11" s="23" t="n">
        <x:f>IFERROR(VLOOKUP(O11,'MI5 Scale'!$A$2:$D$8,4,FALSE),"")</x:f>
        <x:v>0.65</x:v>
      </x:c>
      <x:c r="Y11" s="23" t="n">
        <x:f>IFERROR(POWER(P11,$F11/5),"")</x:f>
        <x:v>0.2871745887492588</x:v>
      </x:c>
      <x:c r="Z11" s="23" t="n">
        <x:f>IFERROR(POWER(Q11,$F11/5),"")</x:f>
        <x:v>0.6597539553864471</x:v>
      </x:c>
      <x:c r="AA11" s="23" t="n">
        <x:f>IFERROR(POWER(R11,$F11/5),"")</x:f>
        <x:v>0.7722323909917427</x:v>
      </x:c>
      <x:c r="AB11" s="23" t="n">
        <x:f>IFERROR(POWER(S11,$F11/5),"")</x:f>
        <x:v>0.5094833744343357</x:v>
      </x:c>
      <x:c r="AC11" s="23" t="n">
        <x:f>IFERROR(POWER(T11,$F11/5),"")</x:f>
        <x:v>0.7722323909917427</x:v>
      </x:c>
      <x:c r="AD11" s="23" t="n">
        <x:f>IFERROR(POWER(U11,$F11/5),"")</x:f>
        <x:v>0.6597539553864471</x:v>
      </x:c>
      <x:c r="AE11" s="23" t="n">
        <x:f>IFERROR(POWER(V11,$F11/5),"")</x:f>
        <x:v>0.6597539553864471</x:v>
      </x:c>
      <x:c r="AF11" s="23" t="n">
        <x:f>IFERROR(POWER(W11,$F11/5),"")</x:f>
        <x:v>0.7722323909917427</x:v>
      </x:c>
      <x:c r="AG11" s="23" t="n">
        <x:f>IFERROR(POWER(X11,$F11/5),"")</x:f>
        <x:v>0.7722323909917427</x:v>
      </x:c>
      <x:c r="AH11" s="22" t="str">
        <x:v>Providence tension</x:v>
      </x:c>
      <x:c r="AI11" s="20" t="n">
        <x:f>IFERROR(LN(Y11),"")</x:f>
        <x:v>-1.2476649250079015</x:v>
      </x:c>
      <x:c r="AJ11" s="20" t="n">
        <x:f>IFERROR(LN(Z11),"")</x:f>
        <x:v>-0.41588830833596724</x:v>
      </x:c>
      <x:c r="AK11" s="20" t="n">
        <x:f>IFERROR(LN(AA11),"")</x:f>
        <x:v>-0.2584697496554726</x:v>
      </x:c>
      <x:c r="AL11" s="20" t="n">
        <x:f>IFERROR(LN(AB11),"")</x:f>
        <x:v>-0.6743580579914397</x:v>
      </x:c>
      <x:c r="AM11" s="20" t="n">
        <x:f>IFERROR(LN(AC11),"")</x:f>
        <x:v>-0.2584697496554726</x:v>
      </x:c>
      <x:c r="AN11" s="20" t="n">
        <x:f>IFERROR(LN(AD11),"")</x:f>
        <x:v>-0.41588830833596724</x:v>
      </x:c>
      <x:c r="AO11" s="20" t="n">
        <x:f>IFERROR(LN(AE11),"")</x:f>
        <x:v>-0.41588830833596724</x:v>
      </x:c>
      <x:c r="AP11" s="20" t="n">
        <x:f>IFERROR(LN(AF11),"")</x:f>
        <x:v>-0.2584697496554726</x:v>
      </x:c>
      <x:c r="AQ11" s="20" t="n">
        <x:f>IFERROR(LN(AG11),"")</x:f>
        <x:v>-0.2584697496554726</x:v>
      </x:c>
    </x:row>
    <x:row r="12" ht="15" hidden="0" customHeight="1">
      <x:c r="A12" s="22" t="str">
        <x:v>EV009</x:v>
      </x:c>
      <x:c r="B12" s="32"/>
      <x:c r="C12" s="22" t="str">
        <x:v>Biblical inerrancy undermined by textual criticism</x:v>
      </x:c>
      <x:c r="D12" s="22" t="str">
        <x:v>Scripture</x:v>
      </x:c>
      <x:c r="E12" s="22" t="str">
        <x:v>Ehrman</x:v>
      </x:c>
      <x:c r="F12" s="33" t="n">
        <x:v>5</x:v>
      </x:c>
      <x:c r="G12" s="22" t="str">
        <x:v>Highly unlikely</x:v>
      </x:c>
      <x:c r="H12" s="22" t="str">
        <x:v>Likely / probable</x:v>
      </x:c>
      <x:c r="I12" s="22" t="str">
        <x:v>Likely / probable</x:v>
      </x:c>
      <x:c r="J12" s="22" t="str">
        <x:v>Roughly even chance</x:v>
      </x:c>
      <x:c r="K12" s="22" t="str">
        <x:v>Roughly even chance</x:v>
      </x:c>
      <x:c r="L12" s="22" t="str">
        <x:v>Roughly even chance</x:v>
      </x:c>
      <x:c r="M12" s="22" t="str">
        <x:v>Roughly even chance</x:v>
      </x:c>
      <x:c r="N12" s="22" t="str">
        <x:v>Highly likely</x:v>
      </x:c>
      <x:c r="O12" s="22" t="str">
        <x:v>Likely / probable</x:v>
      </x:c>
      <x:c r="P12" s="23" t="n">
        <x:f>IFERROR(VLOOKUP(G12,'MI5 Scale'!$A$2:$D$8,4,FALSE),"")</x:f>
        <x:v>0.125</x:v>
      </x:c>
      <x:c r="Q12" s="23" t="n">
        <x:f>IFERROR(VLOOKUP(H12,'MI5 Scale'!$A$2:$D$8,4,FALSE),"")</x:f>
        <x:v>0.65</x:v>
      </x:c>
      <x:c r="R12" s="23" t="n">
        <x:f>IFERROR(VLOOKUP(I12,'MI5 Scale'!$A$2:$D$8,4,FALSE),"")</x:f>
        <x:v>0.65</x:v>
      </x:c>
      <x:c r="S12" s="23" t="n">
        <x:f>IFERROR(VLOOKUP(J12,'MI5 Scale'!$A$2:$D$8,4,FALSE),"")</x:f>
        <x:v>0.5</x:v>
      </x:c>
      <x:c r="T12" s="23" t="n">
        <x:f>IFERROR(VLOOKUP(K12,'MI5 Scale'!$A$2:$D$8,4,FALSE),"")</x:f>
        <x:v>0.5</x:v>
      </x:c>
      <x:c r="U12" s="23" t="n">
        <x:f>IFERROR(VLOOKUP(L12,'MI5 Scale'!$A$2:$D$8,4,FALSE),"")</x:f>
        <x:v>0.5</x:v>
      </x:c>
      <x:c r="V12" s="23" t="n">
        <x:f>IFERROR(VLOOKUP(M12,'MI5 Scale'!$A$2:$D$8,4,FALSE),"")</x:f>
        <x:v>0.5</x:v>
      </x:c>
      <x:c r="W12" s="23" t="n">
        <x:f>IFERROR(VLOOKUP(N12,'MI5 Scale'!$A$2:$D$8,4,FALSE),"")</x:f>
        <x:v>0.85</x:v>
      </x:c>
      <x:c r="X12" s="23" t="n">
        <x:f>IFERROR(VLOOKUP(O12,'MI5 Scale'!$A$2:$D$8,4,FALSE),"")</x:f>
        <x:v>0.65</x:v>
      </x:c>
      <x:c r="Y12" s="23" t="n">
        <x:f>IFERROR(POWER(P12,$F12/5),"")</x:f>
        <x:v>0.125</x:v>
      </x:c>
      <x:c r="Z12" s="23" t="n">
        <x:f>IFERROR(POWER(Q12,$F12/5),"")</x:f>
        <x:v>0.65</x:v>
      </x:c>
      <x:c r="AA12" s="23" t="n">
        <x:f>IFERROR(POWER(R12,$F12/5),"")</x:f>
        <x:v>0.65</x:v>
      </x:c>
      <x:c r="AB12" s="23" t="n">
        <x:f>IFERROR(POWER(S12,$F12/5),"")</x:f>
        <x:v>0.5</x:v>
      </x:c>
      <x:c r="AC12" s="23" t="n">
        <x:f>IFERROR(POWER(T12,$F12/5),"")</x:f>
        <x:v>0.5</x:v>
      </x:c>
      <x:c r="AD12" s="23" t="n">
        <x:f>IFERROR(POWER(U12,$F12/5),"")</x:f>
        <x:v>0.5</x:v>
      </x:c>
      <x:c r="AE12" s="23" t="n">
        <x:f>IFERROR(POWER(V12,$F12/5),"")</x:f>
        <x:v>0.5</x:v>
      </x:c>
      <x:c r="AF12" s="23" t="n">
        <x:f>IFERROR(POWER(W12,$F12/5),"")</x:f>
        <x:v>0.85</x:v>
      </x:c>
      <x:c r="AG12" s="23" t="n">
        <x:f>IFERROR(POWER(X12,$F12/5),"")</x:f>
        <x:v>0.65</x:v>
      </x:c>
      <x:c r="AH12" s="22" t="str">
        <x:v>Textual variants</x:v>
      </x:c>
      <x:c r="AI12" s="20" t="n">
        <x:f>IFERROR(LN(Y12),"")</x:f>
        <x:v>-2.0794415416798357</x:v>
      </x:c>
      <x:c r="AJ12" s="20" t="n">
        <x:f>IFERROR(LN(Z12),"")</x:f>
        <x:v>-0.4307829160924542</x:v>
      </x:c>
      <x:c r="AK12" s="20" t="n">
        <x:f>IFERROR(LN(AA12),"")</x:f>
        <x:v>-0.4307829160924542</x:v>
      </x:c>
      <x:c r="AL12" s="20" t="n">
        <x:f>IFERROR(LN(AB12),"")</x:f>
        <x:v>-0.6931471805599453</x:v>
      </x:c>
      <x:c r="AM12" s="20" t="n">
        <x:f>IFERROR(LN(AC12),"")</x:f>
        <x:v>-0.6931471805599453</x:v>
      </x:c>
      <x:c r="AN12" s="20" t="n">
        <x:f>IFERROR(LN(AD12),"")</x:f>
        <x:v>-0.6931471805599453</x:v>
      </x:c>
      <x:c r="AO12" s="20" t="n">
        <x:f>IFERROR(LN(AE12),"")</x:f>
        <x:v>-0.6931471805599453</x:v>
      </x:c>
      <x:c r="AP12" s="20" t="n">
        <x:f>IFERROR(LN(AF12),"")</x:f>
        <x:v>-0.16251892949777494</x:v>
      </x:c>
      <x:c r="AQ12" s="20" t="n">
        <x:f>IFERROR(LN(AG12),"")</x:f>
        <x:v>-0.4307829160924542</x:v>
      </x:c>
    </x:row>
    <x:row r="13" ht="15" hidden="0" customHeight="1">
      <x:c r="A13" s="22" t="str">
        <x:v>EV010</x:v>
      </x:c>
      <x:c r="B13" s="32"/>
      <x:c r="C13" s="22" t="str">
        <x:v>Bible possibly inspired in non-literal sense</x:v>
      </x:c>
      <x:c r="D13" s="22" t="str">
        <x:v>Scripture</x:v>
      </x:c>
      <x:c r="E13" s="22" t="str">
        <x:v>Enns</x:v>
      </x:c>
      <x:c r="F13" s="33" t="n">
        <x:v>3</x:v>
      </x:c>
      <x:c r="G13" s="22" t="str">
        <x:v>Unlikely</x:v>
      </x:c>
      <x:c r="H13" s="22" t="str">
        <x:v>Highly likely</x:v>
      </x:c>
      <x:c r="I13" s="22" t="str">
        <x:v>Likely / probable</x:v>
      </x:c>
      <x:c r="J13" s="22" t="str">
        <x:v>Roughly even chance</x:v>
      </x:c>
      <x:c r="K13" s="22" t="str">
        <x:v>Unlikely</x:v>
      </x:c>
      <x:c r="L13" s="22" t="str">
        <x:v>Roughly even chance</x:v>
      </x:c>
      <x:c r="M13" s="22" t="str">
        <x:v>Roughly even chance</x:v>
      </x:c>
      <x:c r="N13" s="22" t="str">
        <x:v>Likely / probable</x:v>
      </x:c>
      <x:c r="O13" s="22" t="str">
        <x:v>Roughly even chance</x:v>
      </x:c>
      <x:c r="P13" s="23" t="n">
        <x:f>IFERROR(VLOOKUP(G13,'MI5 Scale'!$A$2:$D$8,4,FALSE),"")</x:f>
        <x:v>0.325</x:v>
      </x:c>
      <x:c r="Q13" s="23" t="n">
        <x:f>IFERROR(VLOOKUP(H13,'MI5 Scale'!$A$2:$D$8,4,FALSE),"")</x:f>
        <x:v>0.85</x:v>
      </x:c>
      <x:c r="R13" s="23" t="n">
        <x:f>IFERROR(VLOOKUP(I13,'MI5 Scale'!$A$2:$D$8,4,FALSE),"")</x:f>
        <x:v>0.65</x:v>
      </x:c>
      <x:c r="S13" s="23" t="n">
        <x:f>IFERROR(VLOOKUP(J13,'MI5 Scale'!$A$2:$D$8,4,FALSE),"")</x:f>
        <x:v>0.5</x:v>
      </x:c>
      <x:c r="T13" s="23" t="n">
        <x:f>IFERROR(VLOOKUP(K13,'MI5 Scale'!$A$2:$D$8,4,FALSE),"")</x:f>
        <x:v>0.325</x:v>
      </x:c>
      <x:c r="U13" s="23" t="n">
        <x:f>IFERROR(VLOOKUP(L13,'MI5 Scale'!$A$2:$D$8,4,FALSE),"")</x:f>
        <x:v>0.5</x:v>
      </x:c>
      <x:c r="V13" s="23" t="n">
        <x:f>IFERROR(VLOOKUP(M13,'MI5 Scale'!$A$2:$D$8,4,FALSE),"")</x:f>
        <x:v>0.5</x:v>
      </x:c>
      <x:c r="W13" s="23" t="n">
        <x:f>IFERROR(VLOOKUP(N13,'MI5 Scale'!$A$2:$D$8,4,FALSE),"")</x:f>
        <x:v>0.65</x:v>
      </x:c>
      <x:c r="X13" s="23" t="n">
        <x:f>IFERROR(VLOOKUP(O13,'MI5 Scale'!$A$2:$D$8,4,FALSE),"")</x:f>
        <x:v>0.5</x:v>
      </x:c>
      <x:c r="Y13" s="23" t="n">
        <x:f>IFERROR(POWER(P13,$F13/5),"")</x:f>
        <x:v>0.5094833744343357</x:v>
      </x:c>
      <x:c r="Z13" s="23" t="n">
        <x:f>IFERROR(POWER(Q13,$F13/5),"")</x:f>
        <x:v>0.9070920390192547</x:v>
      </x:c>
      <x:c r="AA13" s="23" t="n">
        <x:f>IFERROR(POWER(R13,$F13/5),"")</x:f>
        <x:v>0.7722323909917427</x:v>
      </x:c>
      <x:c r="AB13" s="23" t="n">
        <x:f>IFERROR(POWER(S13,$F13/5),"")</x:f>
        <x:v>0.6597539553864471</x:v>
      </x:c>
      <x:c r="AC13" s="23" t="n">
        <x:f>IFERROR(POWER(T13,$F13/5),"")</x:f>
        <x:v>0.5094833744343357</x:v>
      </x:c>
      <x:c r="AD13" s="23" t="n">
        <x:f>IFERROR(POWER(U13,$F13/5),"")</x:f>
        <x:v>0.6597539553864471</x:v>
      </x:c>
      <x:c r="AE13" s="23" t="n">
        <x:f>IFERROR(POWER(V13,$F13/5),"")</x:f>
        <x:v>0.6597539553864471</x:v>
      </x:c>
      <x:c r="AF13" s="23" t="n">
        <x:f>IFERROR(POWER(W13,$F13/5),"")</x:f>
        <x:v>0.7722323909917427</x:v>
      </x:c>
      <x:c r="AG13" s="23" t="n">
        <x:f>IFERROR(POWER(X13,$F13/5),"")</x:f>
        <x:v>0.6597539553864471</x:v>
      </x:c>
      <x:c r="AH13" s="22" t="str">
        <x:v>Open category</x:v>
      </x:c>
      <x:c r="AI13" s="20" t="n">
        <x:f>IFERROR(LN(Y13),"")</x:f>
        <x:v>-0.6743580579914397</x:v>
      </x:c>
      <x:c r="AJ13" s="20" t="n">
        <x:f>IFERROR(LN(Z13),"")</x:f>
        <x:v>-0.09751135769866495</x:v>
      </x:c>
      <x:c r="AK13" s="20" t="n">
        <x:f>IFERROR(LN(AA13),"")</x:f>
        <x:v>-0.2584697496554726</x:v>
      </x:c>
      <x:c r="AL13" s="20" t="n">
        <x:f>IFERROR(LN(AB13),"")</x:f>
        <x:v>-0.41588830833596724</x:v>
      </x:c>
      <x:c r="AM13" s="20" t="n">
        <x:f>IFERROR(LN(AC13),"")</x:f>
        <x:v>-0.6743580579914397</x:v>
      </x:c>
      <x:c r="AN13" s="20" t="n">
        <x:f>IFERROR(LN(AD13),"")</x:f>
        <x:v>-0.41588830833596724</x:v>
      </x:c>
      <x:c r="AO13" s="20" t="n">
        <x:f>IFERROR(LN(AE13),"")</x:f>
        <x:v>-0.41588830833596724</x:v>
      </x:c>
      <x:c r="AP13" s="20" t="n">
        <x:f>IFERROR(LN(AF13),"")</x:f>
        <x:v>-0.2584697496554726</x:v>
      </x:c>
      <x:c r="AQ13" s="20" t="n">
        <x:f>IFERROR(LN(AG13),"")</x:f>
        <x:v>-0.41588830833596724</x:v>
      </x:c>
    </x:row>
    <x:row r="14" ht="15" hidden="0" customHeight="1">
      <x:c r="A14" s="22" t="str">
        <x:v>EV011</x:v>
      </x:c>
      <x:c r="B14" s="32"/>
      <x:c r="C14" s="22" t="str">
        <x:v>Exclusive salvation through Jesus lacks support</x:v>
      </x:c>
      <x:c r="D14" s="22" t="str">
        <x:v>Salvation</x:v>
      </x:c>
      <x:c r="E14" s="22" t="str">
        <x:v>General</x:v>
      </x:c>
      <x:c r="F14" s="33" t="n">
        <x:v>4</x:v>
      </x:c>
      <x:c r="G14" s="22" t="str">
        <x:v>Highly unlikely</x:v>
      </x:c>
      <x:c r="H14" s="22" t="str">
        <x:v>Likely / probable</x:v>
      </x:c>
      <x:c r="I14" s="22" t="str">
        <x:v>Likely / probable</x:v>
      </x:c>
      <x:c r="J14" s="22" t="str">
        <x:v>Unlikely</x:v>
      </x:c>
      <x:c r="K14" s="22" t="str">
        <x:v>Roughly even chance</x:v>
      </x:c>
      <x:c r="L14" s="22" t="str">
        <x:v>Roughly even chance</x:v>
      </x:c>
      <x:c r="M14" s="22" t="str">
        <x:v>Likely / probable</x:v>
      </x:c>
      <x:c r="N14" s="22" t="str">
        <x:v>Highly likely</x:v>
      </x:c>
      <x:c r="O14" s="22" t="str">
        <x:v>Likely / probable</x:v>
      </x:c>
      <x:c r="P14" s="23" t="n">
        <x:f>IFERROR(VLOOKUP(G14,'MI5 Scale'!$A$2:$D$8,4,FALSE),"")</x:f>
        <x:v>0.125</x:v>
      </x:c>
      <x:c r="Q14" s="23" t="n">
        <x:f>IFERROR(VLOOKUP(H14,'MI5 Scale'!$A$2:$D$8,4,FALSE),"")</x:f>
        <x:v>0.65</x:v>
      </x:c>
      <x:c r="R14" s="23" t="n">
        <x:f>IFERROR(VLOOKUP(I14,'MI5 Scale'!$A$2:$D$8,4,FALSE),"")</x:f>
        <x:v>0.65</x:v>
      </x:c>
      <x:c r="S14" s="23" t="n">
        <x:f>IFERROR(VLOOKUP(J14,'MI5 Scale'!$A$2:$D$8,4,FALSE),"")</x:f>
        <x:v>0.325</x:v>
      </x:c>
      <x:c r="T14" s="23" t="n">
        <x:f>IFERROR(VLOOKUP(K14,'MI5 Scale'!$A$2:$D$8,4,FALSE),"")</x:f>
        <x:v>0.5</x:v>
      </x:c>
      <x:c r="U14" s="23" t="n">
        <x:f>IFERROR(VLOOKUP(L14,'MI5 Scale'!$A$2:$D$8,4,FALSE),"")</x:f>
        <x:v>0.5</x:v>
      </x:c>
      <x:c r="V14" s="23" t="n">
        <x:f>IFERROR(VLOOKUP(M14,'MI5 Scale'!$A$2:$D$8,4,FALSE),"")</x:f>
        <x:v>0.65</x:v>
      </x:c>
      <x:c r="W14" s="23" t="n">
        <x:f>IFERROR(VLOOKUP(N14,'MI5 Scale'!$A$2:$D$8,4,FALSE),"")</x:f>
        <x:v>0.85</x:v>
      </x:c>
      <x:c r="X14" s="23" t="n">
        <x:f>IFERROR(VLOOKUP(O14,'MI5 Scale'!$A$2:$D$8,4,FALSE),"")</x:f>
        <x:v>0.65</x:v>
      </x:c>
      <x:c r="Y14" s="23" t="n">
        <x:f>IFERROR(POWER(P14,$F14/5),"")</x:f>
        <x:v>0.18946457081379975</x:v>
      </x:c>
      <x:c r="Z14" s="23" t="n">
        <x:f>IFERROR(POWER(Q14,$F14/5),"")</x:f>
        <x:v>0.7084850415814244</x:v>
      </x:c>
      <x:c r="AA14" s="23" t="n">
        <x:f>IFERROR(POWER(R14,$F14/5),"")</x:f>
        <x:v>0.7084850415814244</x:v>
      </x:c>
      <x:c r="AB14" s="23" t="n">
        <x:f>IFERROR(POWER(S14,$F14/5),"")</x:f>
        <x:v>0.4069178009022941</x:v>
      </x:c>
      <x:c r="AC14" s="23" t="n">
        <x:f>IFERROR(POWER(T14,$F14/5),"")</x:f>
        <x:v>0.5743491774985174</x:v>
      </x:c>
      <x:c r="AD14" s="23" t="n">
        <x:f>IFERROR(POWER(U14,$F14/5),"")</x:f>
        <x:v>0.5743491774985174</x:v>
      </x:c>
      <x:c r="AE14" s="23" t="n">
        <x:f>IFERROR(POWER(V14,$F14/5),"")</x:f>
        <x:v>0.7084850415814244</x:v>
      </x:c>
      <x:c r="AF14" s="23" t="n">
        <x:f>IFERROR(POWER(W14,$F14/5),"")</x:f>
        <x:v>0.8780821334968424</x:v>
      </x:c>
      <x:c r="AG14" s="23" t="n">
        <x:f>IFERROR(POWER(X14,$F14/5),"")</x:f>
        <x:v>0.7084850415814244</x:v>
      </x:c>
      <x:c r="AH14" s="22" t="str">
        <x:v>Pluralism pressure</x:v>
      </x:c>
      <x:c r="AI14" s="20" t="n">
        <x:f>IFERROR(LN(Y14),"")</x:f>
        <x:v>-1.6635532333438687</x:v>
      </x:c>
      <x:c r="AJ14" s="20" t="n">
        <x:f>IFERROR(LN(Z14),"")</x:f>
        <x:v>-0.34462633287396344</x:v>
      </x:c>
      <x:c r="AK14" s="20" t="n">
        <x:f>IFERROR(LN(AA14),"")</x:f>
        <x:v>-0.34462633287396344</x:v>
      </x:c>
      <x:c r="AL14" s="20" t="n">
        <x:f>IFERROR(LN(AB14),"")</x:f>
        <x:v>-0.8991440773219196</x:v>
      </x:c>
      <x:c r="AM14" s="20" t="n">
        <x:f>IFERROR(LN(AC14),"")</x:f>
        <x:v>-0.5545177444479563</x:v>
      </x:c>
      <x:c r="AN14" s="20" t="n">
        <x:f>IFERROR(LN(AD14),"")</x:f>
        <x:v>-0.5545177444479563</x:v>
      </x:c>
      <x:c r="AO14" s="20" t="n">
        <x:f>IFERROR(LN(AE14),"")</x:f>
        <x:v>-0.34462633287396344</x:v>
      </x:c>
      <x:c r="AP14" s="20" t="n">
        <x:f>IFERROR(LN(AF14),"")</x:f>
        <x:v>-0.13001514359821992</x:v>
      </x:c>
      <x:c r="AQ14" s="20" t="n">
        <x:f>IFERROR(LN(AG14),"")</x:f>
        <x:v>-0.34462633287396344</x:v>
      </x:c>
    </x:row>
    <x:row r="15" ht="15" hidden="0" customHeight="1">
      <x:c r="A15" s="22" t="str">
        <x:v>EV012</x:v>
      </x:c>
      <x:c r="B15" s="32"/>
      <x:c r="C15" s="22" t="str">
        <x:v>Multiple paths to salvation plausible</x:v>
      </x:c>
      <x:c r="D15" s="22" t="str">
        <x:v>Salvation</x:v>
      </x:c>
      <x:c r="E15" s="22" t="str">
        <x:v>Philosophy</x:v>
      </x:c>
      <x:c r="F15" s="33" t="n">
        <x:v>3</x:v>
      </x:c>
      <x:c r="G15" s="22" t="str">
        <x:v>Highly unlikely</x:v>
      </x:c>
      <x:c r="H15" s="22" t="str">
        <x:v>Highly likely</x:v>
      </x:c>
      <x:c r="I15" s="22" t="str">
        <x:v>Highly likely</x:v>
      </x:c>
      <x:c r="J15" s="22" t="str">
        <x:v>Roughly even chance</x:v>
      </x:c>
      <x:c r="K15" s="22" t="str">
        <x:v>Roughly even chance</x:v>
      </x:c>
      <x:c r="L15" s="22" t="str">
        <x:v>Likely / probable</x:v>
      </x:c>
      <x:c r="M15" s="22" t="str">
        <x:v>Highly likely</x:v>
      </x:c>
      <x:c r="N15" s="22" t="str">
        <x:v>Highly likely</x:v>
      </x:c>
      <x:c r="O15" s="22" t="str">
        <x:v>Roughly even chance</x:v>
      </x:c>
      <x:c r="P15" s="23" t="n">
        <x:f>IFERROR(VLOOKUP(G15,'MI5 Scale'!$A$2:$D$8,4,FALSE),"")</x:f>
        <x:v>0.125</x:v>
      </x:c>
      <x:c r="Q15" s="23" t="n">
        <x:f>IFERROR(VLOOKUP(H15,'MI5 Scale'!$A$2:$D$8,4,FALSE),"")</x:f>
        <x:v>0.85</x:v>
      </x:c>
      <x:c r="R15" s="23" t="n">
        <x:f>IFERROR(VLOOKUP(I15,'MI5 Scale'!$A$2:$D$8,4,FALSE),"")</x:f>
        <x:v>0.85</x:v>
      </x:c>
      <x:c r="S15" s="23" t="n">
        <x:f>IFERROR(VLOOKUP(J15,'MI5 Scale'!$A$2:$D$8,4,FALSE),"")</x:f>
        <x:v>0.5</x:v>
      </x:c>
      <x:c r="T15" s="23" t="n">
        <x:f>IFERROR(VLOOKUP(K15,'MI5 Scale'!$A$2:$D$8,4,FALSE),"")</x:f>
        <x:v>0.5</x:v>
      </x:c>
      <x:c r="U15" s="23" t="n">
        <x:f>IFERROR(VLOOKUP(L15,'MI5 Scale'!$A$2:$D$8,4,FALSE),"")</x:f>
        <x:v>0.65</x:v>
      </x:c>
      <x:c r="V15" s="23" t="n">
        <x:f>IFERROR(VLOOKUP(M15,'MI5 Scale'!$A$2:$D$8,4,FALSE),"")</x:f>
        <x:v>0.85</x:v>
      </x:c>
      <x:c r="W15" s="23" t="n">
        <x:f>IFERROR(VLOOKUP(N15,'MI5 Scale'!$A$2:$D$8,4,FALSE),"")</x:f>
        <x:v>0.85</x:v>
      </x:c>
      <x:c r="X15" s="23" t="n">
        <x:f>IFERROR(VLOOKUP(O15,'MI5 Scale'!$A$2:$D$8,4,FALSE),"")</x:f>
        <x:v>0.5</x:v>
      </x:c>
      <x:c r="Y15" s="23" t="n">
        <x:f>IFERROR(POWER(P15,$F15/5),"")</x:f>
        <x:v>0.2871745887492588</x:v>
      </x:c>
      <x:c r="Z15" s="23" t="n">
        <x:f>IFERROR(POWER(Q15,$F15/5),"")</x:f>
        <x:v>0.9070920390192547</x:v>
      </x:c>
      <x:c r="AA15" s="23" t="n">
        <x:f>IFERROR(POWER(R15,$F15/5),"")</x:f>
        <x:v>0.9070920390192547</x:v>
      </x:c>
      <x:c r="AB15" s="23" t="n">
        <x:f>IFERROR(POWER(S15,$F15/5),"")</x:f>
        <x:v>0.6597539553864471</x:v>
      </x:c>
      <x:c r="AC15" s="23" t="n">
        <x:f>IFERROR(POWER(T15,$F15/5),"")</x:f>
        <x:v>0.6597539553864471</x:v>
      </x:c>
      <x:c r="AD15" s="23" t="n">
        <x:f>IFERROR(POWER(U15,$F15/5),"")</x:f>
        <x:v>0.7722323909917427</x:v>
      </x:c>
      <x:c r="AE15" s="23" t="n">
        <x:f>IFERROR(POWER(V15,$F15/5),"")</x:f>
        <x:v>0.9070920390192547</x:v>
      </x:c>
      <x:c r="AF15" s="23" t="n">
        <x:f>IFERROR(POWER(W15,$F15/5),"")</x:f>
        <x:v>0.9070920390192547</x:v>
      </x:c>
      <x:c r="AG15" s="23" t="n">
        <x:f>IFERROR(POWER(X15,$F15/5),"")</x:f>
        <x:v>0.6597539553864471</x:v>
      </x:c>
      <x:c r="AH15" s="22" t="str">
        <x:v>Alternative models</x:v>
      </x:c>
      <x:c r="AI15" s="20" t="n">
        <x:f>IFERROR(LN(Y15),"")</x:f>
        <x:v>-1.2476649250079015</x:v>
      </x:c>
      <x:c r="AJ15" s="20" t="n">
        <x:f>IFERROR(LN(Z15),"")</x:f>
        <x:v>-0.09751135769866495</x:v>
      </x:c>
      <x:c r="AK15" s="20" t="n">
        <x:f>IFERROR(LN(AA15),"")</x:f>
        <x:v>-0.09751135769866495</x:v>
      </x:c>
      <x:c r="AL15" s="20" t="n">
        <x:f>IFERROR(LN(AB15),"")</x:f>
        <x:v>-0.41588830833596724</x:v>
      </x:c>
      <x:c r="AM15" s="20" t="n">
        <x:f>IFERROR(LN(AC15),"")</x:f>
        <x:v>-0.41588830833596724</x:v>
      </x:c>
      <x:c r="AN15" s="20" t="n">
        <x:f>IFERROR(LN(AD15),"")</x:f>
        <x:v>-0.2584697496554726</x:v>
      </x:c>
      <x:c r="AO15" s="20" t="n">
        <x:f>IFERROR(LN(AE15),"")</x:f>
        <x:v>-0.09751135769866495</x:v>
      </x:c>
      <x:c r="AP15" s="20" t="n">
        <x:f>IFERROR(LN(AF15),"")</x:f>
        <x:v>-0.09751135769866495</x:v>
      </x:c>
      <x:c r="AQ15" s="20" t="n">
        <x:f>IFERROR(LN(AG15),"")</x:f>
        <x:v>-0.41588830833596724</x:v>
      </x:c>
    </x:row>
    <x:row r="16" ht="15" hidden="0" customHeight="1">
      <x:c r="A16" s="22" t="str">
        <x:v>EV013</x:v>
      </x:c>
      <x:c r="B16" s="32"/>
      <x:c r="C16" s="22" t="str">
        <x:v>Eternal hell morally problematic</x:v>
      </x:c>
      <x:c r="D16" s="22" t="str">
        <x:v>Ethics</x:v>
      </x:c>
      <x:c r="E16" s="22" t="str">
        <x:v>Philosophy</x:v>
      </x:c>
      <x:c r="F16" s="33" t="n">
        <x:v>4</x:v>
      </x:c>
      <x:c r="G16" s="22" t="str">
        <x:v>Highly unlikely</x:v>
      </x:c>
      <x:c r="H16" s="22" t="str">
        <x:v>Highly likely</x:v>
      </x:c>
      <x:c r="I16" s="22" t="str">
        <x:v>Highly likely</x:v>
      </x:c>
      <x:c r="J16" s="22" t="str">
        <x:v>Unlikely</x:v>
      </x:c>
      <x:c r="K16" s="22" t="str">
        <x:v>Likely / probable</x:v>
      </x:c>
      <x:c r="L16" s="22" t="str">
        <x:v>Likely / probable</x:v>
      </x:c>
      <x:c r="M16" s="22" t="str">
        <x:v>Likely / probable</x:v>
      </x:c>
      <x:c r="N16" s="22" t="str">
        <x:v>Highly likely</x:v>
      </x:c>
      <x:c r="O16" s="22" t="str">
        <x:v>Likely / probable</x:v>
      </x:c>
      <x:c r="P16" s="23" t="n">
        <x:f>IFERROR(VLOOKUP(G16,'MI5 Scale'!$A$2:$D$8,4,FALSE),"")</x:f>
        <x:v>0.125</x:v>
      </x:c>
      <x:c r="Q16" s="23" t="n">
        <x:f>IFERROR(VLOOKUP(H16,'MI5 Scale'!$A$2:$D$8,4,FALSE),"")</x:f>
        <x:v>0.85</x:v>
      </x:c>
      <x:c r="R16" s="23" t="n">
        <x:f>IFERROR(VLOOKUP(I16,'MI5 Scale'!$A$2:$D$8,4,FALSE),"")</x:f>
        <x:v>0.85</x:v>
      </x:c>
      <x:c r="S16" s="23" t="n">
        <x:f>IFERROR(VLOOKUP(J16,'MI5 Scale'!$A$2:$D$8,4,FALSE),"")</x:f>
        <x:v>0.325</x:v>
      </x:c>
      <x:c r="T16" s="23" t="n">
        <x:f>IFERROR(VLOOKUP(K16,'MI5 Scale'!$A$2:$D$8,4,FALSE),"")</x:f>
        <x:v>0.65</x:v>
      </x:c>
      <x:c r="U16" s="23" t="n">
        <x:f>IFERROR(VLOOKUP(L16,'MI5 Scale'!$A$2:$D$8,4,FALSE),"")</x:f>
        <x:v>0.65</x:v>
      </x:c>
      <x:c r="V16" s="23" t="n">
        <x:f>IFERROR(VLOOKUP(M16,'MI5 Scale'!$A$2:$D$8,4,FALSE),"")</x:f>
        <x:v>0.65</x:v>
      </x:c>
      <x:c r="W16" s="23" t="n">
        <x:f>IFERROR(VLOOKUP(N16,'MI5 Scale'!$A$2:$D$8,4,FALSE),"")</x:f>
        <x:v>0.85</x:v>
      </x:c>
      <x:c r="X16" s="23" t="n">
        <x:f>IFERROR(VLOOKUP(O16,'MI5 Scale'!$A$2:$D$8,4,FALSE),"")</x:f>
        <x:v>0.65</x:v>
      </x:c>
      <x:c r="Y16" s="23" t="n">
        <x:f>IFERROR(POWER(P16,$F16/5),"")</x:f>
        <x:v>0.18946457081379975</x:v>
      </x:c>
      <x:c r="Z16" s="23" t="n">
        <x:f>IFERROR(POWER(Q16,$F16/5),"")</x:f>
        <x:v>0.8780821334968424</x:v>
      </x:c>
      <x:c r="AA16" s="23" t="n">
        <x:f>IFERROR(POWER(R16,$F16/5),"")</x:f>
        <x:v>0.8780821334968424</x:v>
      </x:c>
      <x:c r="AB16" s="23" t="n">
        <x:f>IFERROR(POWER(S16,$F16/5),"")</x:f>
        <x:v>0.4069178009022941</x:v>
      </x:c>
      <x:c r="AC16" s="23" t="n">
        <x:f>IFERROR(POWER(T16,$F16/5),"")</x:f>
        <x:v>0.7084850415814244</x:v>
      </x:c>
      <x:c r="AD16" s="23" t="n">
        <x:f>IFERROR(POWER(U16,$F16/5),"")</x:f>
        <x:v>0.7084850415814244</x:v>
      </x:c>
      <x:c r="AE16" s="23" t="n">
        <x:f>IFERROR(POWER(V16,$F16/5),"")</x:f>
        <x:v>0.7084850415814244</x:v>
      </x:c>
      <x:c r="AF16" s="23" t="n">
        <x:f>IFERROR(POWER(W16,$F16/5),"")</x:f>
        <x:v>0.8780821334968424</x:v>
      </x:c>
      <x:c r="AG16" s="23" t="n">
        <x:f>IFERROR(POWER(X16,$F16/5),"")</x:f>
        <x:v>0.7084850415814244</x:v>
      </x:c>
      <x:c r="AH16" s="22" t="str">
        <x:v>Moral objection</x:v>
      </x:c>
      <x:c r="AI16" s="20" t="n">
        <x:f>IFERROR(LN(Y16),"")</x:f>
        <x:v>-1.6635532333438687</x:v>
      </x:c>
      <x:c r="AJ16" s="20" t="n">
        <x:f>IFERROR(LN(Z16),"")</x:f>
        <x:v>-0.13001514359821992</x:v>
      </x:c>
      <x:c r="AK16" s="20" t="n">
        <x:f>IFERROR(LN(AA16),"")</x:f>
        <x:v>-0.13001514359821992</x:v>
      </x:c>
      <x:c r="AL16" s="20" t="n">
        <x:f>IFERROR(LN(AB16),"")</x:f>
        <x:v>-0.8991440773219196</x:v>
      </x:c>
      <x:c r="AM16" s="20" t="n">
        <x:f>IFERROR(LN(AC16),"")</x:f>
        <x:v>-0.34462633287396344</x:v>
      </x:c>
      <x:c r="AN16" s="20" t="n">
        <x:f>IFERROR(LN(AD16),"")</x:f>
        <x:v>-0.34462633287396344</x:v>
      </x:c>
      <x:c r="AO16" s="20" t="n">
        <x:f>IFERROR(LN(AE16),"")</x:f>
        <x:v>-0.34462633287396344</x:v>
      </x:c>
      <x:c r="AP16" s="20" t="n">
        <x:f>IFERROR(LN(AF16),"")</x:f>
        <x:v>-0.13001514359821992</x:v>
      </x:c>
      <x:c r="AQ16" s="20" t="n">
        <x:f>IFERROR(LN(AG16),"")</x:f>
        <x:v>-0.34462633287396344</x:v>
      </x:c>
    </x:row>
    <x:row r="17" ht="15" hidden="0" customHeight="1">
      <x:c r="A17" s="22" t="str">
        <x:v>EV014</x:v>
      </x:c>
      <x:c r="B17" s="32"/>
      <x:c r="C17" s="22" t="str">
        <x:v>Mystical experiences have natural explanations</x:v>
      </x:c>
      <x:c r="D17" s="22" t="str">
        <x:v>Miracles</x:v>
      </x:c>
      <x:c r="E17" s="22" t="str">
        <x:v>Psychology</x:v>
      </x:c>
      <x:c r="F17" s="33" t="n">
        <x:v>3</x:v>
      </x:c>
      <x:c r="G17" s="22" t="str">
        <x:v>Roughly even chance</x:v>
      </x:c>
      <x:c r="H17" s="22" t="str">
        <x:v>Roughly even chance</x:v>
      </x:c>
      <x:c r="I17" s="22" t="str">
        <x:v>Roughly even chance</x:v>
      </x:c>
      <x:c r="J17" s="22" t="str">
        <x:v>Roughly even chance</x:v>
      </x:c>
      <x:c r="K17" s="22" t="str">
        <x:v>Roughly even chance</x:v>
      </x:c>
      <x:c r="L17" s="22" t="str">
        <x:v>Roughly even chance</x:v>
      </x:c>
      <x:c r="M17" s="22" t="str">
        <x:v>Roughly even chance</x:v>
      </x:c>
      <x:c r="N17" s="22" t="str">
        <x:v>Likely / probable</x:v>
      </x:c>
      <x:c r="O17" s="22" t="str">
        <x:v>Likely / probable</x:v>
      </x:c>
      <x:c r="P17" s="23" t="n">
        <x:f>IFERROR(VLOOKUP(G17,'MI5 Scale'!$A$2:$D$8,4,FALSE),"")</x:f>
        <x:v>0.5</x:v>
      </x:c>
      <x:c r="Q17" s="23" t="n">
        <x:f>IFERROR(VLOOKUP(H17,'MI5 Scale'!$A$2:$D$8,4,FALSE),"")</x:f>
        <x:v>0.5</x:v>
      </x:c>
      <x:c r="R17" s="23" t="n">
        <x:f>IFERROR(VLOOKUP(I17,'MI5 Scale'!$A$2:$D$8,4,FALSE),"")</x:f>
        <x:v>0.5</x:v>
      </x:c>
      <x:c r="S17" s="23" t="n">
        <x:f>IFERROR(VLOOKUP(J17,'MI5 Scale'!$A$2:$D$8,4,FALSE),"")</x:f>
        <x:v>0.5</x:v>
      </x:c>
      <x:c r="T17" s="23" t="n">
        <x:f>IFERROR(VLOOKUP(K17,'MI5 Scale'!$A$2:$D$8,4,FALSE),"")</x:f>
        <x:v>0.5</x:v>
      </x:c>
      <x:c r="U17" s="23" t="n">
        <x:f>IFERROR(VLOOKUP(L17,'MI5 Scale'!$A$2:$D$8,4,FALSE),"")</x:f>
        <x:v>0.5</x:v>
      </x:c>
      <x:c r="V17" s="23" t="n">
        <x:f>IFERROR(VLOOKUP(M17,'MI5 Scale'!$A$2:$D$8,4,FALSE),"")</x:f>
        <x:v>0.5</x:v>
      </x:c>
      <x:c r="W17" s="23" t="n">
        <x:f>IFERROR(VLOOKUP(N17,'MI5 Scale'!$A$2:$D$8,4,FALSE),"")</x:f>
        <x:v>0.65</x:v>
      </x:c>
      <x:c r="X17" s="23" t="n">
        <x:f>IFERROR(VLOOKUP(O17,'MI5 Scale'!$A$2:$D$8,4,FALSE),"")</x:f>
        <x:v>0.65</x:v>
      </x:c>
      <x:c r="Y17" s="23" t="n">
        <x:f>IFERROR(POWER(P17,$F17/5),"")</x:f>
        <x:v>0.6597539553864471</x:v>
      </x:c>
      <x:c r="Z17" s="23" t="n">
        <x:f>IFERROR(POWER(Q17,$F17/5),"")</x:f>
        <x:v>0.6597539553864471</x:v>
      </x:c>
      <x:c r="AA17" s="23" t="n">
        <x:f>IFERROR(POWER(R17,$F17/5),"")</x:f>
        <x:v>0.6597539553864471</x:v>
      </x:c>
      <x:c r="AB17" s="23" t="n">
        <x:f>IFERROR(POWER(S17,$F17/5),"")</x:f>
        <x:v>0.6597539553864471</x:v>
      </x:c>
      <x:c r="AC17" s="23" t="n">
        <x:f>IFERROR(POWER(T17,$F17/5),"")</x:f>
        <x:v>0.6597539553864471</x:v>
      </x:c>
      <x:c r="AD17" s="23" t="n">
        <x:f>IFERROR(POWER(U17,$F17/5),"")</x:f>
        <x:v>0.6597539553864471</x:v>
      </x:c>
      <x:c r="AE17" s="23" t="n">
        <x:f>IFERROR(POWER(V17,$F17/5),"")</x:f>
        <x:v>0.6597539553864471</x:v>
      </x:c>
      <x:c r="AF17" s="23" t="n">
        <x:f>IFERROR(POWER(W17,$F17/5),"")</x:f>
        <x:v>0.7722323909917427</x:v>
      </x:c>
      <x:c r="AG17" s="23" t="n">
        <x:f>IFERROR(POWER(X17,$F17/5),"")</x:f>
        <x:v>0.7722323909917427</x:v>
      </x:c>
      <x:c r="AH17" s="22" t="str">
        <x:v>Competing explanations</x:v>
      </x:c>
      <x:c r="AI17" s="20" t="n">
        <x:f>IFERROR(LN(Y17),"")</x:f>
        <x:v>-0.41588830833596724</x:v>
      </x:c>
      <x:c r="AJ17" s="20" t="n">
        <x:f>IFERROR(LN(Z17),"")</x:f>
        <x:v>-0.41588830833596724</x:v>
      </x:c>
      <x:c r="AK17" s="20" t="n">
        <x:f>IFERROR(LN(AA17),"")</x:f>
        <x:v>-0.41588830833596724</x:v>
      </x:c>
      <x:c r="AL17" s="20" t="n">
        <x:f>IFERROR(LN(AB17),"")</x:f>
        <x:v>-0.41588830833596724</x:v>
      </x:c>
      <x:c r="AM17" s="20" t="n">
        <x:f>IFERROR(LN(AC17),"")</x:f>
        <x:v>-0.41588830833596724</x:v>
      </x:c>
      <x:c r="AN17" s="20" t="n">
        <x:f>IFERROR(LN(AD17),"")</x:f>
        <x:v>-0.41588830833596724</x:v>
      </x:c>
      <x:c r="AO17" s="20" t="n">
        <x:f>IFERROR(LN(AE17),"")</x:f>
        <x:v>-0.41588830833596724</x:v>
      </x:c>
      <x:c r="AP17" s="20" t="n">
        <x:f>IFERROR(LN(AF17),"")</x:f>
        <x:v>-0.2584697496554726</x:v>
      </x:c>
      <x:c r="AQ17" s="20" t="n">
        <x:f>IFERROR(LN(AG17),"")</x:f>
        <x:v>-0.2584697496554726</x:v>
      </x:c>
    </x:row>
    <x:row r="18" ht="15" hidden="0" customHeight="1">
      <x:c r="A18" s="22" t="str">
        <x:v>EV015</x:v>
      </x:c>
      <x:c r="B18" s="32"/>
      <x:c r="C18" s="22" t="str">
        <x:v>Miracles lack strong empirical support</x:v>
      </x:c>
      <x:c r="D18" s="22" t="str">
        <x:v>Miracles</x:v>
      </x:c>
      <x:c r="E18" s="22" t="str">
        <x:v>General</x:v>
      </x:c>
      <x:c r="F18" s="33" t="n">
        <x:v>4</x:v>
      </x:c>
      <x:c r="G18" s="22" t="str">
        <x:v>Highly unlikely</x:v>
      </x:c>
      <x:c r="H18" s="22" t="str">
        <x:v>Roughly even chance</x:v>
      </x:c>
      <x:c r="I18" s="22" t="str">
        <x:v>Roughly even chance</x:v>
      </x:c>
      <x:c r="J18" s="22" t="str">
        <x:v>Unlikely</x:v>
      </x:c>
      <x:c r="K18" s="22" t="str">
        <x:v>Likely / probable</x:v>
      </x:c>
      <x:c r="L18" s="22" t="str">
        <x:v>Roughly even chance</x:v>
      </x:c>
      <x:c r="M18" s="22" t="str">
        <x:v>Roughly even chance</x:v>
      </x:c>
      <x:c r="N18" s="22" t="str">
        <x:v>Likely / probable</x:v>
      </x:c>
      <x:c r="O18" s="22" t="str">
        <x:v>Likely / probable</x:v>
      </x:c>
      <x:c r="P18" s="23" t="n">
        <x:f>IFERROR(VLOOKUP(G18,'MI5 Scale'!$A$2:$D$8,4,FALSE),"")</x:f>
        <x:v>0.125</x:v>
      </x:c>
      <x:c r="Q18" s="23" t="n">
        <x:f>IFERROR(VLOOKUP(H18,'MI5 Scale'!$A$2:$D$8,4,FALSE),"")</x:f>
        <x:v>0.5</x:v>
      </x:c>
      <x:c r="R18" s="23" t="n">
        <x:f>IFERROR(VLOOKUP(I18,'MI5 Scale'!$A$2:$D$8,4,FALSE),"")</x:f>
        <x:v>0.5</x:v>
      </x:c>
      <x:c r="S18" s="23" t="n">
        <x:f>IFERROR(VLOOKUP(J18,'MI5 Scale'!$A$2:$D$8,4,FALSE),"")</x:f>
        <x:v>0.325</x:v>
      </x:c>
      <x:c r="T18" s="23" t="n">
        <x:f>IFERROR(VLOOKUP(K18,'MI5 Scale'!$A$2:$D$8,4,FALSE),"")</x:f>
        <x:v>0.65</x:v>
      </x:c>
      <x:c r="U18" s="23" t="n">
        <x:f>IFERROR(VLOOKUP(L18,'MI5 Scale'!$A$2:$D$8,4,FALSE),"")</x:f>
        <x:v>0.5</x:v>
      </x:c>
      <x:c r="V18" s="23" t="n">
        <x:f>IFERROR(VLOOKUP(M18,'MI5 Scale'!$A$2:$D$8,4,FALSE),"")</x:f>
        <x:v>0.5</x:v>
      </x:c>
      <x:c r="W18" s="23" t="n">
        <x:f>IFERROR(VLOOKUP(N18,'MI5 Scale'!$A$2:$D$8,4,FALSE),"")</x:f>
        <x:v>0.65</x:v>
      </x:c>
      <x:c r="X18" s="23" t="n">
        <x:f>IFERROR(VLOOKUP(O18,'MI5 Scale'!$A$2:$D$8,4,FALSE),"")</x:f>
        <x:v>0.65</x:v>
      </x:c>
      <x:c r="Y18" s="23" t="n">
        <x:f>IFERROR(POWER(P18,$F18/5),"")</x:f>
        <x:v>0.18946457081379975</x:v>
      </x:c>
      <x:c r="Z18" s="23" t="n">
        <x:f>IFERROR(POWER(Q18,$F18/5),"")</x:f>
        <x:v>0.5743491774985174</x:v>
      </x:c>
      <x:c r="AA18" s="23" t="n">
        <x:f>IFERROR(POWER(R18,$F18/5),"")</x:f>
        <x:v>0.5743491774985174</x:v>
      </x:c>
      <x:c r="AB18" s="23" t="n">
        <x:f>IFERROR(POWER(S18,$F18/5),"")</x:f>
        <x:v>0.4069178009022941</x:v>
      </x:c>
      <x:c r="AC18" s="23" t="n">
        <x:f>IFERROR(POWER(T18,$F18/5),"")</x:f>
        <x:v>0.7084850415814244</x:v>
      </x:c>
      <x:c r="AD18" s="23" t="n">
        <x:f>IFERROR(POWER(U18,$F18/5),"")</x:f>
        <x:v>0.5743491774985174</x:v>
      </x:c>
      <x:c r="AE18" s="23" t="n">
        <x:f>IFERROR(POWER(V18,$F18/5),"")</x:f>
        <x:v>0.5743491774985174</x:v>
      </x:c>
      <x:c r="AF18" s="23" t="n">
        <x:f>IFERROR(POWER(W18,$F18/5),"")</x:f>
        <x:v>0.7084850415814244</x:v>
      </x:c>
      <x:c r="AG18" s="23" t="n">
        <x:f>IFERROR(POWER(X18,$F18/5),"")</x:f>
        <x:v>0.7084850415814244</x:v>
      </x:c>
      <x:c r="AH18" s="22" t="str">
        <x:v>Evidential gap</x:v>
      </x:c>
      <x:c r="AI18" s="20" t="n">
        <x:f>IFERROR(LN(Y18),"")</x:f>
        <x:v>-1.6635532333438687</x:v>
      </x:c>
      <x:c r="AJ18" s="20" t="n">
        <x:f>IFERROR(LN(Z18),"")</x:f>
        <x:v>-0.5545177444479563</x:v>
      </x:c>
      <x:c r="AK18" s="20" t="n">
        <x:f>IFERROR(LN(AA18),"")</x:f>
        <x:v>-0.5545177444479563</x:v>
      </x:c>
      <x:c r="AL18" s="20" t="n">
        <x:f>IFERROR(LN(AB18),"")</x:f>
        <x:v>-0.8991440773219196</x:v>
      </x:c>
      <x:c r="AM18" s="20" t="n">
        <x:f>IFERROR(LN(AC18),"")</x:f>
        <x:v>-0.34462633287396344</x:v>
      </x:c>
      <x:c r="AN18" s="20" t="n">
        <x:f>IFERROR(LN(AD18),"")</x:f>
        <x:v>-0.5545177444479563</x:v>
      </x:c>
      <x:c r="AO18" s="20" t="n">
        <x:f>IFERROR(LN(AE18),"")</x:f>
        <x:v>-0.5545177444479563</x:v>
      </x:c>
      <x:c r="AP18" s="20" t="n">
        <x:f>IFERROR(LN(AF18),"")</x:f>
        <x:v>-0.34462633287396344</x:v>
      </x:c>
      <x:c r="AQ18" s="20" t="n">
        <x:f>IFERROR(LN(AG18),"")</x:f>
        <x:v>-0.34462633287396344</x:v>
      </x:c>
    </x:row>
    <x:row r="19" ht="15" hidden="0" customHeight="1">
      <x:c r="A19" s="22" t="str">
        <x:v>EV016</x:v>
      </x:c>
      <x:c r="B19" s="32"/>
      <x:c r="C19" s="22" t="str">
        <x:v>God speaking through feelings likely subjective</x:v>
      </x:c>
      <x:c r="D19" s="22" t="str">
        <x:v>Miracles</x:v>
      </x:c>
      <x:c r="E19" s="22" t="str">
        <x:v>Psychology</x:v>
      </x:c>
      <x:c r="F19" s="33" t="n">
        <x:v>3</x:v>
      </x:c>
      <x:c r="G19" s="22" t="str">
        <x:v>Highly unlikely</x:v>
      </x:c>
      <x:c r="H19" s="22" t="str">
        <x:v>Roughly even chance</x:v>
      </x:c>
      <x:c r="I19" s="22" t="str">
        <x:v>Roughly even chance</x:v>
      </x:c>
      <x:c r="J19" s="22" t="str">
        <x:v>Unlikely</x:v>
      </x:c>
      <x:c r="K19" s="22" t="str">
        <x:v>Likely / probable</x:v>
      </x:c>
      <x:c r="L19" s="22" t="str">
        <x:v>Roughly even chance</x:v>
      </x:c>
      <x:c r="M19" s="22" t="str">
        <x:v>Roughly even chance</x:v>
      </x:c>
      <x:c r="N19" s="22" t="str">
        <x:v>Likely / probable</x:v>
      </x:c>
      <x:c r="O19" s="22" t="str">
        <x:v>Likely / probable</x:v>
      </x:c>
      <x:c r="P19" s="23" t="n">
        <x:f>IFERROR(VLOOKUP(G19,'MI5 Scale'!$A$2:$D$8,4,FALSE),"")</x:f>
        <x:v>0.125</x:v>
      </x:c>
      <x:c r="Q19" s="23" t="n">
        <x:f>IFERROR(VLOOKUP(H19,'MI5 Scale'!$A$2:$D$8,4,FALSE),"")</x:f>
        <x:v>0.5</x:v>
      </x:c>
      <x:c r="R19" s="23" t="n">
        <x:f>IFERROR(VLOOKUP(I19,'MI5 Scale'!$A$2:$D$8,4,FALSE),"")</x:f>
        <x:v>0.5</x:v>
      </x:c>
      <x:c r="S19" s="23" t="n">
        <x:f>IFERROR(VLOOKUP(J19,'MI5 Scale'!$A$2:$D$8,4,FALSE),"")</x:f>
        <x:v>0.325</x:v>
      </x:c>
      <x:c r="T19" s="23" t="n">
        <x:f>IFERROR(VLOOKUP(K19,'MI5 Scale'!$A$2:$D$8,4,FALSE),"")</x:f>
        <x:v>0.65</x:v>
      </x:c>
      <x:c r="U19" s="23" t="n">
        <x:f>IFERROR(VLOOKUP(L19,'MI5 Scale'!$A$2:$D$8,4,FALSE),"")</x:f>
        <x:v>0.5</x:v>
      </x:c>
      <x:c r="V19" s="23" t="n">
        <x:f>IFERROR(VLOOKUP(M19,'MI5 Scale'!$A$2:$D$8,4,FALSE),"")</x:f>
        <x:v>0.5</x:v>
      </x:c>
      <x:c r="W19" s="23" t="n">
        <x:f>IFERROR(VLOOKUP(N19,'MI5 Scale'!$A$2:$D$8,4,FALSE),"")</x:f>
        <x:v>0.65</x:v>
      </x:c>
      <x:c r="X19" s="23" t="n">
        <x:f>IFERROR(VLOOKUP(O19,'MI5 Scale'!$A$2:$D$8,4,FALSE),"")</x:f>
        <x:v>0.65</x:v>
      </x:c>
      <x:c r="Y19" s="23" t="n">
        <x:f>IFERROR(POWER(P19,$F19/5),"")</x:f>
        <x:v>0.2871745887492588</x:v>
      </x:c>
      <x:c r="Z19" s="23" t="n">
        <x:f>IFERROR(POWER(Q19,$F19/5),"")</x:f>
        <x:v>0.6597539553864471</x:v>
      </x:c>
      <x:c r="AA19" s="23" t="n">
        <x:f>IFERROR(POWER(R19,$F19/5),"")</x:f>
        <x:v>0.6597539553864471</x:v>
      </x:c>
      <x:c r="AB19" s="23" t="n">
        <x:f>IFERROR(POWER(S19,$F19/5),"")</x:f>
        <x:v>0.5094833744343357</x:v>
      </x:c>
      <x:c r="AC19" s="23" t="n">
        <x:f>IFERROR(POWER(T19,$F19/5),"")</x:f>
        <x:v>0.7722323909917427</x:v>
      </x:c>
      <x:c r="AD19" s="23" t="n">
        <x:f>IFERROR(POWER(U19,$F19/5),"")</x:f>
        <x:v>0.6597539553864471</x:v>
      </x:c>
      <x:c r="AE19" s="23" t="n">
        <x:f>IFERROR(POWER(V19,$F19/5),"")</x:f>
        <x:v>0.6597539553864471</x:v>
      </x:c>
      <x:c r="AF19" s="23" t="n">
        <x:f>IFERROR(POWER(W19,$F19/5),"")</x:f>
        <x:v>0.7722323909917427</x:v>
      </x:c>
      <x:c r="AG19" s="23" t="n">
        <x:f>IFERROR(POWER(X19,$F19/5),"")</x:f>
        <x:v>0.7722323909917427</x:v>
      </x:c>
      <x:c r="AH19" s="22" t="str">
        <x:v>Cognitive bias</x:v>
      </x:c>
      <x:c r="AI19" s="20" t="n">
        <x:f>IFERROR(LN(Y19),"")</x:f>
        <x:v>-1.2476649250079015</x:v>
      </x:c>
      <x:c r="AJ19" s="20" t="n">
        <x:f>IFERROR(LN(Z19),"")</x:f>
        <x:v>-0.41588830833596724</x:v>
      </x:c>
      <x:c r="AK19" s="20" t="n">
        <x:f>IFERROR(LN(AA19),"")</x:f>
        <x:v>-0.41588830833596724</x:v>
      </x:c>
      <x:c r="AL19" s="20" t="n">
        <x:f>IFERROR(LN(AB19),"")</x:f>
        <x:v>-0.6743580579914397</x:v>
      </x:c>
      <x:c r="AM19" s="20" t="n">
        <x:f>IFERROR(LN(AC19),"")</x:f>
        <x:v>-0.2584697496554726</x:v>
      </x:c>
      <x:c r="AN19" s="20" t="n">
        <x:f>IFERROR(LN(AD19),"")</x:f>
        <x:v>-0.41588830833596724</x:v>
      </x:c>
      <x:c r="AO19" s="20" t="n">
        <x:f>IFERROR(LN(AE19),"")</x:f>
        <x:v>-0.41588830833596724</x:v>
      </x:c>
      <x:c r="AP19" s="20" t="n">
        <x:f>IFERROR(LN(AF19),"")</x:f>
        <x:v>-0.2584697496554726</x:v>
      </x:c>
      <x:c r="AQ19" s="20" t="n">
        <x:f>IFERROR(LN(AG19),"")</x:f>
        <x:v>-0.2584697496554726</x:v>
      </x:c>
    </x:row>
    <x:row r="20" ht="15" hidden="0" customHeight="1">
      <x:c r="A20" s="22" t="str">
        <x:v>EV017</x:v>
      </x:c>
      <x:c r="B20" s="32"/>
      <x:c r="C20" s="22" t="str">
        <x:v>Prevenient grace concept retained</x:v>
      </x:c>
      <x:c r="D20" s="22" t="str">
        <x:v>Theology</x:v>
      </x:c>
      <x:c r="E20" s="22" t="str">
        <x:v>Wesleyan</x:v>
      </x:c>
      <x:c r="F20" s="33" t="n">
        <x:v>2</x:v>
      </x:c>
      <x:c r="G20" s="22" t="str">
        <x:v>Likely / probable</x:v>
      </x:c>
      <x:c r="H20" s="22" t="str">
        <x:v>Likely / probable</x:v>
      </x:c>
      <x:c r="I20" s="22" t="str">
        <x:v>Likely / probable</x:v>
      </x:c>
      <x:c r="J20" s="22" t="str">
        <x:v>Roughly even chance</x:v>
      </x:c>
      <x:c r="K20" s="22" t="str">
        <x:v>Unlikely</x:v>
      </x:c>
      <x:c r="L20" s="22" t="str">
        <x:v>Unlikely</x:v>
      </x:c>
      <x:c r="M20" s="22" t="str">
        <x:v>Roughly even chance</x:v>
      </x:c>
      <x:c r="N20" s="22" t="str">
        <x:v>Roughly even chance</x:v>
      </x:c>
      <x:c r="O20" s="22" t="str">
        <x:v>Highly unlikely</x:v>
      </x:c>
      <x:c r="P20" s="23" t="n">
        <x:f>IFERROR(VLOOKUP(G20,'MI5 Scale'!$A$2:$D$8,4,FALSE),"")</x:f>
        <x:v>0.65</x:v>
      </x:c>
      <x:c r="Q20" s="23" t="n">
        <x:f>IFERROR(VLOOKUP(H20,'MI5 Scale'!$A$2:$D$8,4,FALSE),"")</x:f>
        <x:v>0.65</x:v>
      </x:c>
      <x:c r="R20" s="23" t="n">
        <x:f>IFERROR(VLOOKUP(I20,'MI5 Scale'!$A$2:$D$8,4,FALSE),"")</x:f>
        <x:v>0.65</x:v>
      </x:c>
      <x:c r="S20" s="23" t="n">
        <x:f>IFERROR(VLOOKUP(J20,'MI5 Scale'!$A$2:$D$8,4,FALSE),"")</x:f>
        <x:v>0.5</x:v>
      </x:c>
      <x:c r="T20" s="23" t="n">
        <x:f>IFERROR(VLOOKUP(K20,'MI5 Scale'!$A$2:$D$8,4,FALSE),"")</x:f>
        <x:v>0.325</x:v>
      </x:c>
      <x:c r="U20" s="23" t="n">
        <x:f>IFERROR(VLOOKUP(L20,'MI5 Scale'!$A$2:$D$8,4,FALSE),"")</x:f>
        <x:v>0.325</x:v>
      </x:c>
      <x:c r="V20" s="23" t="n">
        <x:f>IFERROR(VLOOKUP(M20,'MI5 Scale'!$A$2:$D$8,4,FALSE),"")</x:f>
        <x:v>0.5</x:v>
      </x:c>
      <x:c r="W20" s="23" t="n">
        <x:f>IFERROR(VLOOKUP(N20,'MI5 Scale'!$A$2:$D$8,4,FALSE),"")</x:f>
        <x:v>0.5</x:v>
      </x:c>
      <x:c r="X20" s="23" t="n">
        <x:f>IFERROR(VLOOKUP(O20,'MI5 Scale'!$A$2:$D$8,4,FALSE),"")</x:f>
        <x:v>0.125</x:v>
      </x:c>
      <x:c r="Y20" s="23" t="n">
        <x:f>IFERROR(POWER(P20,$F20/5),"")</x:f>
        <x:v>0.8417155348343195</x:v>
      </x:c>
      <x:c r="Z20" s="23" t="n">
        <x:f>IFERROR(POWER(Q20,$F20/5),"")</x:f>
        <x:v>0.8417155348343195</x:v>
      </x:c>
      <x:c r="AA20" s="23" t="n">
        <x:f>IFERROR(POWER(R20,$F20/5),"")</x:f>
        <x:v>0.8417155348343195</x:v>
      </x:c>
      <x:c r="AB20" s="23" t="n">
        <x:f>IFERROR(POWER(S20,$F20/5),"")</x:f>
        <x:v>0.757858283255199</x:v>
      </x:c>
      <x:c r="AC20" s="23" t="n">
        <x:f>IFERROR(POWER(T20,$F20/5),"")</x:f>
        <x:v>0.6379010902187691</x:v>
      </x:c>
      <x:c r="AD20" s="23" t="n">
        <x:f>IFERROR(POWER(U20,$F20/5),"")</x:f>
        <x:v>0.6379010902187691</x:v>
      </x:c>
      <x:c r="AE20" s="23" t="n">
        <x:f>IFERROR(POWER(V20,$F20/5),"")</x:f>
        <x:v>0.757858283255199</x:v>
      </x:c>
      <x:c r="AF20" s="23" t="n">
        <x:f>IFERROR(POWER(W20,$F20/5),"")</x:f>
        <x:v>0.757858283255199</x:v>
      </x:c>
      <x:c r="AG20" s="23" t="n">
        <x:f>IFERROR(POWER(X20,$F20/5),"")</x:f>
        <x:v>0.43527528164806206</x:v>
      </x:c>
      <x:c r="AH20" s="22" t="str">
        <x:v>Still accepted</x:v>
      </x:c>
      <x:c r="AI20" s="20" t="n">
        <x:f>IFERROR(LN(Y20),"")</x:f>
        <x:v>-0.17231316643698166</x:v>
      </x:c>
      <x:c r="AJ20" s="20" t="n">
        <x:f>IFERROR(LN(Z20),"")</x:f>
        <x:v>-0.17231316643698166</x:v>
      </x:c>
      <x:c r="AK20" s="20" t="n">
        <x:f>IFERROR(LN(AA20),"")</x:f>
        <x:v>-0.17231316643698166</x:v>
      </x:c>
      <x:c r="AL20" s="20" t="n">
        <x:f>IFERROR(LN(AB20),"")</x:f>
        <x:v>-0.27725887222397816</x:v>
      </x:c>
      <x:c r="AM20" s="20" t="n">
        <x:f>IFERROR(LN(AC20),"")</x:f>
        <x:v>-0.4495720386609598</x:v>
      </x:c>
      <x:c r="AN20" s="20" t="n">
        <x:f>IFERROR(LN(AD20),"")</x:f>
        <x:v>-0.4495720386609598</x:v>
      </x:c>
      <x:c r="AO20" s="20" t="n">
        <x:f>IFERROR(LN(AE20),"")</x:f>
        <x:v>-0.27725887222397816</x:v>
      </x:c>
      <x:c r="AP20" s="20" t="n">
        <x:f>IFERROR(LN(AF20),"")</x:f>
        <x:v>-0.27725887222397816</x:v>
      </x:c>
      <x:c r="AQ20" s="20" t="n">
        <x:f>IFERROR(LN(AG20),"")</x:f>
        <x:v>-0.8317766166719344</x:v>
      </x:c>
    </x:row>
    <x:row r="21" ht="15" hidden="0" customHeight="1">
      <x:c r="A21" s="22" t="str">
        <x:v>EV018</x:v>
      </x:c>
      <x:c r="B21" s="32"/>
      <x:c r="C21" s="22" t="str">
        <x:v>Spiritual experiences feel meaningful</x:v>
      </x:c>
      <x:c r="D21" s="22" t="str">
        <x:v>Experience</x:v>
      </x:c>
      <x:c r="E21" s="22" t="str">
        <x:v>Personal</x:v>
      </x:c>
      <x:c r="F21" s="33" t="n">
        <x:v>3</x:v>
      </x:c>
      <x:c r="G21" s="22" t="str">
        <x:v>Likely / probable</x:v>
      </x:c>
      <x:c r="H21" s="22" t="str">
        <x:v>Highly likely</x:v>
      </x:c>
      <x:c r="I21" s="22" t="str">
        <x:v>Likely / probable</x:v>
      </x:c>
      <x:c r="J21" s="22" t="str">
        <x:v>Likely / probable</x:v>
      </x:c>
      <x:c r="K21" s="22" t="str">
        <x:v>Roughly even chance</x:v>
      </x:c>
      <x:c r="L21" s="22" t="str">
        <x:v>Likely / probable</x:v>
      </x:c>
      <x:c r="M21" s="22" t="str">
        <x:v>Highly likely</x:v>
      </x:c>
      <x:c r="N21" s="22" t="str">
        <x:v>Highly likely</x:v>
      </x:c>
      <x:c r="O21" s="22" t="str">
        <x:v>Roughly even chance</x:v>
      </x:c>
      <x:c r="P21" s="23" t="n">
        <x:f>IFERROR(VLOOKUP(G21,'MI5 Scale'!$A$2:$D$8,4,FALSE),"")</x:f>
        <x:v>0.65</x:v>
      </x:c>
      <x:c r="Q21" s="23" t="n">
        <x:f>IFERROR(VLOOKUP(H21,'MI5 Scale'!$A$2:$D$8,4,FALSE),"")</x:f>
        <x:v>0.85</x:v>
      </x:c>
      <x:c r="R21" s="23" t="n">
        <x:f>IFERROR(VLOOKUP(I21,'MI5 Scale'!$A$2:$D$8,4,FALSE),"")</x:f>
        <x:v>0.65</x:v>
      </x:c>
      <x:c r="S21" s="23" t="n">
        <x:f>IFERROR(VLOOKUP(J21,'MI5 Scale'!$A$2:$D$8,4,FALSE),"")</x:f>
        <x:v>0.65</x:v>
      </x:c>
      <x:c r="T21" s="23" t="n">
        <x:f>IFERROR(VLOOKUP(K21,'MI5 Scale'!$A$2:$D$8,4,FALSE),"")</x:f>
        <x:v>0.5</x:v>
      </x:c>
      <x:c r="U21" s="23" t="n">
        <x:f>IFERROR(VLOOKUP(L21,'MI5 Scale'!$A$2:$D$8,4,FALSE),"")</x:f>
        <x:v>0.65</x:v>
      </x:c>
      <x:c r="V21" s="23" t="n">
        <x:f>IFERROR(VLOOKUP(M21,'MI5 Scale'!$A$2:$D$8,4,FALSE),"")</x:f>
        <x:v>0.85</x:v>
      </x:c>
      <x:c r="W21" s="23" t="n">
        <x:f>IFERROR(VLOOKUP(N21,'MI5 Scale'!$A$2:$D$8,4,FALSE),"")</x:f>
        <x:v>0.85</x:v>
      </x:c>
      <x:c r="X21" s="23" t="n">
        <x:f>IFERROR(VLOOKUP(O21,'MI5 Scale'!$A$2:$D$8,4,FALSE),"")</x:f>
        <x:v>0.5</x:v>
      </x:c>
      <x:c r="Y21" s="23" t="n">
        <x:f>IFERROR(POWER(P21,$F21/5),"")</x:f>
        <x:v>0.7722323909917427</x:v>
      </x:c>
      <x:c r="Z21" s="23" t="n">
        <x:f>IFERROR(POWER(Q21,$F21/5),"")</x:f>
        <x:v>0.9070920390192547</x:v>
      </x:c>
      <x:c r="AA21" s="23" t="n">
        <x:f>IFERROR(POWER(R21,$F21/5),"")</x:f>
        <x:v>0.7722323909917427</x:v>
      </x:c>
      <x:c r="AB21" s="23" t="n">
        <x:f>IFERROR(POWER(S21,$F21/5),"")</x:f>
        <x:v>0.7722323909917427</x:v>
      </x:c>
      <x:c r="AC21" s="23" t="n">
        <x:f>IFERROR(POWER(T21,$F21/5),"")</x:f>
        <x:v>0.6597539553864471</x:v>
      </x:c>
      <x:c r="AD21" s="23" t="n">
        <x:f>IFERROR(POWER(U21,$F21/5),"")</x:f>
        <x:v>0.7722323909917427</x:v>
      </x:c>
      <x:c r="AE21" s="23" t="n">
        <x:f>IFERROR(POWER(V21,$F21/5),"")</x:f>
        <x:v>0.9070920390192547</x:v>
      </x:c>
      <x:c r="AF21" s="23" t="n">
        <x:f>IFERROR(POWER(W21,$F21/5),"")</x:f>
        <x:v>0.9070920390192547</x:v>
      </x:c>
      <x:c r="AG21" s="23" t="n">
        <x:f>IFERROR(POWER(X21,$F21/5),"")</x:f>
        <x:v>0.6597539553864471</x:v>
      </x:c>
      <x:c r="AH21" s="22" t="str">
        <x:v>Phenomenology</x:v>
      </x:c>
      <x:c r="AI21" s="20" t="n">
        <x:f>IFERROR(LN(Y21),"")</x:f>
        <x:v>-0.2584697496554726</x:v>
      </x:c>
      <x:c r="AJ21" s="20" t="n">
        <x:f>IFERROR(LN(Z21),"")</x:f>
        <x:v>-0.09751135769866495</x:v>
      </x:c>
      <x:c r="AK21" s="20" t="n">
        <x:f>IFERROR(LN(AA21),"")</x:f>
        <x:v>-0.2584697496554726</x:v>
      </x:c>
      <x:c r="AL21" s="20" t="n">
        <x:f>IFERROR(LN(AB21),"")</x:f>
        <x:v>-0.2584697496554726</x:v>
      </x:c>
      <x:c r="AM21" s="20" t="n">
        <x:f>IFERROR(LN(AC21),"")</x:f>
        <x:v>-0.41588830833596724</x:v>
      </x:c>
      <x:c r="AN21" s="20" t="n">
        <x:f>IFERROR(LN(AD21),"")</x:f>
        <x:v>-0.2584697496554726</x:v>
      </x:c>
      <x:c r="AO21" s="20" t="n">
        <x:f>IFERROR(LN(AE21),"")</x:f>
        <x:v>-0.09751135769866495</x:v>
      </x:c>
      <x:c r="AP21" s="20" t="n">
        <x:f>IFERROR(LN(AF21),"")</x:f>
        <x:v>-0.09751135769866495</x:v>
      </x:c>
      <x:c r="AQ21" s="20" t="n">
        <x:f>IFERROR(LN(AG21),"")</x:f>
        <x:v>-0.41588830833596724</x:v>
      </x:c>
    </x:row>
    <x:row r="22" ht="15" hidden="0" customHeight="1">
      <x:c r="A22" s="22" t="str">
        <x:v>EV019</x:v>
      </x:c>
      <x:c r="B22" s="32"/>
      <x:c r="C22" s="22" t="str">
        <x:v>Sexual ethics better explained by harm principle</x:v>
      </x:c>
      <x:c r="D22" s="22" t="str">
        <x:v>Ethics</x:v>
      </x:c>
      <x:c r="E22" s="22" t="str">
        <x:v>Philosophy</x:v>
      </x:c>
      <x:c r="F22" s="33" t="n">
        <x:v>4</x:v>
      </x:c>
      <x:c r="G22" s="22" t="str">
        <x:v>Unlikely</x:v>
      </x:c>
      <x:c r="H22" s="22" t="str">
        <x:v>Likely / probable</x:v>
      </x:c>
      <x:c r="I22" s="22" t="str">
        <x:v>Likely / probable</x:v>
      </x:c>
      <x:c r="J22" s="22" t="str">
        <x:v>Roughly even chance</x:v>
      </x:c>
      <x:c r="K22" s="22" t="str">
        <x:v>Roughly even chance</x:v>
      </x:c>
      <x:c r="L22" s="22" t="str">
        <x:v>Likely / probable</x:v>
      </x:c>
      <x:c r="M22" s="22" t="str">
        <x:v>Likely / probable</x:v>
      </x:c>
      <x:c r="N22" s="22" t="str">
        <x:v>Highly likely</x:v>
      </x:c>
      <x:c r="O22" s="22" t="str">
        <x:v>Likely / probable</x:v>
      </x:c>
      <x:c r="P22" s="23" t="n">
        <x:f>IFERROR(VLOOKUP(G22,'MI5 Scale'!$A$2:$D$8,4,FALSE),"")</x:f>
        <x:v>0.325</x:v>
      </x:c>
      <x:c r="Q22" s="23" t="n">
        <x:f>IFERROR(VLOOKUP(H22,'MI5 Scale'!$A$2:$D$8,4,FALSE),"")</x:f>
        <x:v>0.65</x:v>
      </x:c>
      <x:c r="R22" s="23" t="n">
        <x:f>IFERROR(VLOOKUP(I22,'MI5 Scale'!$A$2:$D$8,4,FALSE),"")</x:f>
        <x:v>0.65</x:v>
      </x:c>
      <x:c r="S22" s="23" t="n">
        <x:f>IFERROR(VLOOKUP(J22,'MI5 Scale'!$A$2:$D$8,4,FALSE),"")</x:f>
        <x:v>0.5</x:v>
      </x:c>
      <x:c r="T22" s="23" t="n">
        <x:f>IFERROR(VLOOKUP(K22,'MI5 Scale'!$A$2:$D$8,4,FALSE),"")</x:f>
        <x:v>0.5</x:v>
      </x:c>
      <x:c r="U22" s="23" t="n">
        <x:f>IFERROR(VLOOKUP(L22,'MI5 Scale'!$A$2:$D$8,4,FALSE),"")</x:f>
        <x:v>0.65</x:v>
      </x:c>
      <x:c r="V22" s="23" t="n">
        <x:f>IFERROR(VLOOKUP(M22,'MI5 Scale'!$A$2:$D$8,4,FALSE),"")</x:f>
        <x:v>0.65</x:v>
      </x:c>
      <x:c r="W22" s="23" t="n">
        <x:f>IFERROR(VLOOKUP(N22,'MI5 Scale'!$A$2:$D$8,4,FALSE),"")</x:f>
        <x:v>0.85</x:v>
      </x:c>
      <x:c r="X22" s="23" t="n">
        <x:f>IFERROR(VLOOKUP(O22,'MI5 Scale'!$A$2:$D$8,4,FALSE),"")</x:f>
        <x:v>0.65</x:v>
      </x:c>
      <x:c r="Y22" s="23" t="n">
        <x:f>IFERROR(POWER(P22,$F22/5),"")</x:f>
        <x:v>0.4069178009022941</x:v>
      </x:c>
      <x:c r="Z22" s="23" t="n">
        <x:f>IFERROR(POWER(Q22,$F22/5),"")</x:f>
        <x:v>0.7084850415814244</x:v>
      </x:c>
      <x:c r="AA22" s="23" t="n">
        <x:f>IFERROR(POWER(R22,$F22/5),"")</x:f>
        <x:v>0.7084850415814244</x:v>
      </x:c>
      <x:c r="AB22" s="23" t="n">
        <x:f>IFERROR(POWER(S22,$F22/5),"")</x:f>
        <x:v>0.5743491774985174</x:v>
      </x:c>
      <x:c r="AC22" s="23" t="n">
        <x:f>IFERROR(POWER(T22,$F22/5),"")</x:f>
        <x:v>0.5743491774985174</x:v>
      </x:c>
      <x:c r="AD22" s="23" t="n">
        <x:f>IFERROR(POWER(U22,$F22/5),"")</x:f>
        <x:v>0.7084850415814244</x:v>
      </x:c>
      <x:c r="AE22" s="23" t="n">
        <x:f>IFERROR(POWER(V22,$F22/5),"")</x:f>
        <x:v>0.7084850415814244</x:v>
      </x:c>
      <x:c r="AF22" s="23" t="n">
        <x:f>IFERROR(POWER(W22,$F22/5),"")</x:f>
        <x:v>0.8780821334968424</x:v>
      </x:c>
      <x:c r="AG22" s="23" t="n">
        <x:f>IFERROR(POWER(X22,$F22/5),"")</x:f>
        <x:v>0.7084850415814244</x:v>
      </x:c>
      <x:c r="AH22" s="22" t="str">
        <x:v>Moral reframing</x:v>
      </x:c>
      <x:c r="AI22" s="20" t="n">
        <x:f>IFERROR(LN(Y22),"")</x:f>
        <x:v>-0.8991440773219196</x:v>
      </x:c>
      <x:c r="AJ22" s="20" t="n">
        <x:f>IFERROR(LN(Z22),"")</x:f>
        <x:v>-0.34462633287396344</x:v>
      </x:c>
      <x:c r="AK22" s="20" t="n">
        <x:f>IFERROR(LN(AA22),"")</x:f>
        <x:v>-0.34462633287396344</x:v>
      </x:c>
      <x:c r="AL22" s="20" t="n">
        <x:f>IFERROR(LN(AB22),"")</x:f>
        <x:v>-0.5545177444479563</x:v>
      </x:c>
      <x:c r="AM22" s="20" t="n">
        <x:f>IFERROR(LN(AC22),"")</x:f>
        <x:v>-0.5545177444479563</x:v>
      </x:c>
      <x:c r="AN22" s="20" t="n">
        <x:f>IFERROR(LN(AD22),"")</x:f>
        <x:v>-0.34462633287396344</x:v>
      </x:c>
      <x:c r="AO22" s="20" t="n">
        <x:f>IFERROR(LN(AE22),"")</x:f>
        <x:v>-0.34462633287396344</x:v>
      </x:c>
      <x:c r="AP22" s="20" t="n">
        <x:f>IFERROR(LN(AF22),"")</x:f>
        <x:v>-0.13001514359821992</x:v>
      </x:c>
      <x:c r="AQ22" s="20" t="n">
        <x:f>IFERROR(LN(AG22),"")</x:f>
        <x:v>-0.34462633287396344</x:v>
      </x:c>
    </x:row>
    <x:row r="23" ht="15" hidden="0" customHeight="1">
      <x:c r="A23" s="22" t="str">
        <x:v>EV020</x:v>
      </x:c>
      <x:c r="B23" s="32"/>
      <x:c r="C23" s="22" t="str">
        <x:v>Homosexuality not inherently immoral</x:v>
      </x:c>
      <x:c r="D23" s="22" t="str">
        <x:v>Ethics</x:v>
      </x:c>
      <x:c r="E23" s="22" t="str">
        <x:v>Philosophy</x:v>
      </x:c>
      <x:c r="F23" s="33" t="n">
        <x:v>4</x:v>
      </x:c>
      <x:c r="G23" s="22" t="str">
        <x:v>Highly unlikely</x:v>
      </x:c>
      <x:c r="H23" s="22" t="str">
        <x:v>Highly likely</x:v>
      </x:c>
      <x:c r="I23" s="22" t="str">
        <x:v>Highly likely</x:v>
      </x:c>
      <x:c r="J23" s="22" t="str">
        <x:v>Unlikely</x:v>
      </x:c>
      <x:c r="K23" s="22" t="str">
        <x:v>Roughly even chance</x:v>
      </x:c>
      <x:c r="L23" s="22" t="str">
        <x:v>Likely / probable</x:v>
      </x:c>
      <x:c r="M23" s="22" t="str">
        <x:v>Likely / probable</x:v>
      </x:c>
      <x:c r="N23" s="22" t="str">
        <x:v>Highly likely</x:v>
      </x:c>
      <x:c r="O23" s="22" t="str">
        <x:v>Likely / probable</x:v>
      </x:c>
      <x:c r="P23" s="23" t="n">
        <x:f>IFERROR(VLOOKUP(G23,'MI5 Scale'!$A$2:$D$8,4,FALSE),"")</x:f>
        <x:v>0.125</x:v>
      </x:c>
      <x:c r="Q23" s="23" t="n">
        <x:f>IFERROR(VLOOKUP(H23,'MI5 Scale'!$A$2:$D$8,4,FALSE),"")</x:f>
        <x:v>0.85</x:v>
      </x:c>
      <x:c r="R23" s="23" t="n">
        <x:f>IFERROR(VLOOKUP(I23,'MI5 Scale'!$A$2:$D$8,4,FALSE),"")</x:f>
        <x:v>0.85</x:v>
      </x:c>
      <x:c r="S23" s="23" t="n">
        <x:f>IFERROR(VLOOKUP(J23,'MI5 Scale'!$A$2:$D$8,4,FALSE),"")</x:f>
        <x:v>0.325</x:v>
      </x:c>
      <x:c r="T23" s="23" t="n">
        <x:f>IFERROR(VLOOKUP(K23,'MI5 Scale'!$A$2:$D$8,4,FALSE),"")</x:f>
        <x:v>0.5</x:v>
      </x:c>
      <x:c r="U23" s="23" t="n">
        <x:f>IFERROR(VLOOKUP(L23,'MI5 Scale'!$A$2:$D$8,4,FALSE),"")</x:f>
        <x:v>0.65</x:v>
      </x:c>
      <x:c r="V23" s="23" t="n">
        <x:f>IFERROR(VLOOKUP(M23,'MI5 Scale'!$A$2:$D$8,4,FALSE),"")</x:f>
        <x:v>0.65</x:v>
      </x:c>
      <x:c r="W23" s="23" t="n">
        <x:f>IFERROR(VLOOKUP(N23,'MI5 Scale'!$A$2:$D$8,4,FALSE),"")</x:f>
        <x:v>0.85</x:v>
      </x:c>
      <x:c r="X23" s="23" t="n">
        <x:f>IFERROR(VLOOKUP(O23,'MI5 Scale'!$A$2:$D$8,4,FALSE),"")</x:f>
        <x:v>0.65</x:v>
      </x:c>
      <x:c r="Y23" s="23" t="n">
        <x:f>IFERROR(POWER(P23,$F23/5),"")</x:f>
        <x:v>0.18946457081379975</x:v>
      </x:c>
      <x:c r="Z23" s="23" t="n">
        <x:f>IFERROR(POWER(Q23,$F23/5),"")</x:f>
        <x:v>0.8780821334968424</x:v>
      </x:c>
      <x:c r="AA23" s="23" t="n">
        <x:f>IFERROR(POWER(R23,$F23/5),"")</x:f>
        <x:v>0.8780821334968424</x:v>
      </x:c>
      <x:c r="AB23" s="23" t="n">
        <x:f>IFERROR(POWER(S23,$F23/5),"")</x:f>
        <x:v>0.4069178009022941</x:v>
      </x:c>
      <x:c r="AC23" s="23" t="n">
        <x:f>IFERROR(POWER(T23,$F23/5),"")</x:f>
        <x:v>0.5743491774985174</x:v>
      </x:c>
      <x:c r="AD23" s="23" t="n">
        <x:f>IFERROR(POWER(U23,$F23/5),"")</x:f>
        <x:v>0.7084850415814244</x:v>
      </x:c>
      <x:c r="AE23" s="23" t="n">
        <x:f>IFERROR(POWER(V23,$F23/5),"")</x:f>
        <x:v>0.7084850415814244</x:v>
      </x:c>
      <x:c r="AF23" s="23" t="n">
        <x:f>IFERROR(POWER(W23,$F23/5),"")</x:f>
        <x:v>0.8780821334968424</x:v>
      </x:c>
      <x:c r="AG23" s="23" t="n">
        <x:f>IFERROR(POWER(X23,$F23/5),"")</x:f>
        <x:v>0.7084850415814244</x:v>
      </x:c>
      <x:c r="AH23" s="22" t="str">
        <x:v>Moral revision</x:v>
      </x:c>
      <x:c r="AI23" s="20" t="n">
        <x:f>IFERROR(LN(Y23),"")</x:f>
        <x:v>-1.6635532333438687</x:v>
      </x:c>
      <x:c r="AJ23" s="20" t="n">
        <x:f>IFERROR(LN(Z23),"")</x:f>
        <x:v>-0.13001514359821992</x:v>
      </x:c>
      <x:c r="AK23" s="20" t="n">
        <x:f>IFERROR(LN(AA23),"")</x:f>
        <x:v>-0.13001514359821992</x:v>
      </x:c>
      <x:c r="AL23" s="20" t="n">
        <x:f>IFERROR(LN(AB23),"")</x:f>
        <x:v>-0.8991440773219196</x:v>
      </x:c>
      <x:c r="AM23" s="20" t="n">
        <x:f>IFERROR(LN(AC23),"")</x:f>
        <x:v>-0.5545177444479563</x:v>
      </x:c>
      <x:c r="AN23" s="20" t="n">
        <x:f>IFERROR(LN(AD23),"")</x:f>
        <x:v>-0.34462633287396344</x:v>
      </x:c>
      <x:c r="AO23" s="20" t="n">
        <x:f>IFERROR(LN(AE23),"")</x:f>
        <x:v>-0.34462633287396344</x:v>
      </x:c>
      <x:c r="AP23" s="20" t="n">
        <x:f>IFERROR(LN(AF23),"")</x:f>
        <x:v>-0.13001514359821992</x:v>
      </x:c>
      <x:c r="AQ23" s="20" t="n">
        <x:f>IFERROR(LN(AG23),"")</x:f>
        <x:v>-0.34462633287396344</x:v>
      </x:c>
    </x:row>
    <x:row r="24" ht="15" hidden="0" customHeight="1">
      <x:c r="A24" s="22" t="str">
        <x:v>EV021</x:v>
      </x:c>
      <x:c r="B24" s="32"/>
      <x:c r="C24" s="22" t="str">
        <x:v>Objectification harmful vs “sin” framing</x:v>
      </x:c>
      <x:c r="D24" s="22" t="str">
        <x:v>Ethics</x:v>
      </x:c>
      <x:c r="E24" s="22" t="str">
        <x:v>Psychology</x:v>
      </x:c>
      <x:c r="F24" s="33" t="n">
        <x:v>3</x:v>
      </x:c>
      <x:c r="G24" s="22" t="str">
        <x:v>Unlikely</x:v>
      </x:c>
      <x:c r="H24" s="22" t="str">
        <x:v>Likely / probable</x:v>
      </x:c>
      <x:c r="I24" s="22" t="str">
        <x:v>Likely / probable</x:v>
      </x:c>
      <x:c r="J24" s="22" t="str">
        <x:v>Roughly even chance</x:v>
      </x:c>
      <x:c r="K24" s="22" t="str">
        <x:v>Roughly even chance</x:v>
      </x:c>
      <x:c r="L24" s="22" t="str">
        <x:v>Likely / probable</x:v>
      </x:c>
      <x:c r="M24" s="22" t="str">
        <x:v>Likely / probable</x:v>
      </x:c>
      <x:c r="N24" s="22" t="str">
        <x:v>Highly likely</x:v>
      </x:c>
      <x:c r="O24" s="22" t="str">
        <x:v>Likely / probable</x:v>
      </x:c>
      <x:c r="P24" s="23" t="n">
        <x:f>IFERROR(VLOOKUP(G24,'MI5 Scale'!$A$2:$D$8,4,FALSE),"")</x:f>
        <x:v>0.325</x:v>
      </x:c>
      <x:c r="Q24" s="23" t="n">
        <x:f>IFERROR(VLOOKUP(H24,'MI5 Scale'!$A$2:$D$8,4,FALSE),"")</x:f>
        <x:v>0.65</x:v>
      </x:c>
      <x:c r="R24" s="23" t="n">
        <x:f>IFERROR(VLOOKUP(I24,'MI5 Scale'!$A$2:$D$8,4,FALSE),"")</x:f>
        <x:v>0.65</x:v>
      </x:c>
      <x:c r="S24" s="23" t="n">
        <x:f>IFERROR(VLOOKUP(J24,'MI5 Scale'!$A$2:$D$8,4,FALSE),"")</x:f>
        <x:v>0.5</x:v>
      </x:c>
      <x:c r="T24" s="23" t="n">
        <x:f>IFERROR(VLOOKUP(K24,'MI5 Scale'!$A$2:$D$8,4,FALSE),"")</x:f>
        <x:v>0.5</x:v>
      </x:c>
      <x:c r="U24" s="23" t="n">
        <x:f>IFERROR(VLOOKUP(L24,'MI5 Scale'!$A$2:$D$8,4,FALSE),"")</x:f>
        <x:v>0.65</x:v>
      </x:c>
      <x:c r="V24" s="23" t="n">
        <x:f>IFERROR(VLOOKUP(M24,'MI5 Scale'!$A$2:$D$8,4,FALSE),"")</x:f>
        <x:v>0.65</x:v>
      </x:c>
      <x:c r="W24" s="23" t="n">
        <x:f>IFERROR(VLOOKUP(N24,'MI5 Scale'!$A$2:$D$8,4,FALSE),"")</x:f>
        <x:v>0.85</x:v>
      </x:c>
      <x:c r="X24" s="23" t="n">
        <x:f>IFERROR(VLOOKUP(O24,'MI5 Scale'!$A$2:$D$8,4,FALSE),"")</x:f>
        <x:v>0.65</x:v>
      </x:c>
      <x:c r="Y24" s="23" t="n">
        <x:f>IFERROR(POWER(P24,$F24/5),"")</x:f>
        <x:v>0.5094833744343357</x:v>
      </x:c>
      <x:c r="Z24" s="23" t="n">
        <x:f>IFERROR(POWER(Q24,$F24/5),"")</x:f>
        <x:v>0.7722323909917427</x:v>
      </x:c>
      <x:c r="AA24" s="23" t="n">
        <x:f>IFERROR(POWER(R24,$F24/5),"")</x:f>
        <x:v>0.7722323909917427</x:v>
      </x:c>
      <x:c r="AB24" s="23" t="n">
        <x:f>IFERROR(POWER(S24,$F24/5),"")</x:f>
        <x:v>0.6597539553864471</x:v>
      </x:c>
      <x:c r="AC24" s="23" t="n">
        <x:f>IFERROR(POWER(T24,$F24/5),"")</x:f>
        <x:v>0.6597539553864471</x:v>
      </x:c>
      <x:c r="AD24" s="23" t="n">
        <x:f>IFERROR(POWER(U24,$F24/5),"")</x:f>
        <x:v>0.7722323909917427</x:v>
      </x:c>
      <x:c r="AE24" s="23" t="n">
        <x:f>IFERROR(POWER(V24,$F24/5),"")</x:f>
        <x:v>0.7722323909917427</x:v>
      </x:c>
      <x:c r="AF24" s="23" t="n">
        <x:f>IFERROR(POWER(W24,$F24/5),"")</x:f>
        <x:v>0.9070920390192547</x:v>
      </x:c>
      <x:c r="AG24" s="23" t="n">
        <x:f>IFERROR(POWER(X24,$F24/5),"")</x:f>
        <x:v>0.7722323909917427</x:v>
      </x:c>
      <x:c r="AH24" s="22" t="str">
        <x:v>Reframed</x:v>
      </x:c>
      <x:c r="AI24" s="20" t="n">
        <x:f>IFERROR(LN(Y24),"")</x:f>
        <x:v>-0.6743580579914397</x:v>
      </x:c>
      <x:c r="AJ24" s="20" t="n">
        <x:f>IFERROR(LN(Z24),"")</x:f>
        <x:v>-0.2584697496554726</x:v>
      </x:c>
      <x:c r="AK24" s="20" t="n">
        <x:f>IFERROR(LN(AA24),"")</x:f>
        <x:v>-0.2584697496554726</x:v>
      </x:c>
      <x:c r="AL24" s="20" t="n">
        <x:f>IFERROR(LN(AB24),"")</x:f>
        <x:v>-0.41588830833596724</x:v>
      </x:c>
      <x:c r="AM24" s="20" t="n">
        <x:f>IFERROR(LN(AC24),"")</x:f>
        <x:v>-0.41588830833596724</x:v>
      </x:c>
      <x:c r="AN24" s="20" t="n">
        <x:f>IFERROR(LN(AD24),"")</x:f>
        <x:v>-0.2584697496554726</x:v>
      </x:c>
      <x:c r="AO24" s="20" t="n">
        <x:f>IFERROR(LN(AE24),"")</x:f>
        <x:v>-0.2584697496554726</x:v>
      </x:c>
      <x:c r="AP24" s="20" t="n">
        <x:f>IFERROR(LN(AF24),"")</x:f>
        <x:v>-0.09751135769866495</x:v>
      </x:c>
      <x:c r="AQ24" s="20" t="n">
        <x:f>IFERROR(LN(AG24),"")</x:f>
        <x:v>-0.2584697496554726</x:v>
      </x:c>
    </x:row>
    <x:row r="25" ht="15" hidden="0" customHeight="1">
      <x:c r="A25" s="22" t="str">
        <x:v>EV022</x:v>
      </x:c>
      <x:c r="B25" s="32"/>
      <x:c r="C25" s="22" t="str">
        <x:v>Lust not equivalent to adultery</x:v>
      </x:c>
      <x:c r="D25" s="22" t="str">
        <x:v>Ethics</x:v>
      </x:c>
      <x:c r="E25" s="22" t="str">
        <x:v>Philosophy</x:v>
      </x:c>
      <x:c r="F25" s="33" t="n">
        <x:v>3</x:v>
      </x:c>
      <x:c r="G25" s="22" t="str">
        <x:v>Unlikely</x:v>
      </x:c>
      <x:c r="H25" s="22" t="str">
        <x:v>Likely / probable</x:v>
      </x:c>
      <x:c r="I25" s="22" t="str">
        <x:v>Likely / probable</x:v>
      </x:c>
      <x:c r="J25" s="22" t="str">
        <x:v>Roughly even chance</x:v>
      </x:c>
      <x:c r="K25" s="22" t="str">
        <x:v>Roughly even chance</x:v>
      </x:c>
      <x:c r="L25" s="22" t="str">
        <x:v>Likely / probable</x:v>
      </x:c>
      <x:c r="M25" s="22" t="str">
        <x:v>Likely / probable</x:v>
      </x:c>
      <x:c r="N25" s="22" t="str">
        <x:v>Highly likely</x:v>
      </x:c>
      <x:c r="O25" s="22" t="str">
        <x:v>Likely / probable</x:v>
      </x:c>
      <x:c r="P25" s="23" t="n">
        <x:f>IFERROR(VLOOKUP(G25,'MI5 Scale'!$A$2:$D$8,4,FALSE),"")</x:f>
        <x:v>0.325</x:v>
      </x:c>
      <x:c r="Q25" s="23" t="n">
        <x:f>IFERROR(VLOOKUP(H25,'MI5 Scale'!$A$2:$D$8,4,FALSE),"")</x:f>
        <x:v>0.65</x:v>
      </x:c>
      <x:c r="R25" s="23" t="n">
        <x:f>IFERROR(VLOOKUP(I25,'MI5 Scale'!$A$2:$D$8,4,FALSE),"")</x:f>
        <x:v>0.65</x:v>
      </x:c>
      <x:c r="S25" s="23" t="n">
        <x:f>IFERROR(VLOOKUP(J25,'MI5 Scale'!$A$2:$D$8,4,FALSE),"")</x:f>
        <x:v>0.5</x:v>
      </x:c>
      <x:c r="T25" s="23" t="n">
        <x:f>IFERROR(VLOOKUP(K25,'MI5 Scale'!$A$2:$D$8,4,FALSE),"")</x:f>
        <x:v>0.5</x:v>
      </x:c>
      <x:c r="U25" s="23" t="n">
        <x:f>IFERROR(VLOOKUP(L25,'MI5 Scale'!$A$2:$D$8,4,FALSE),"")</x:f>
        <x:v>0.65</x:v>
      </x:c>
      <x:c r="V25" s="23" t="n">
        <x:f>IFERROR(VLOOKUP(M25,'MI5 Scale'!$A$2:$D$8,4,FALSE),"")</x:f>
        <x:v>0.65</x:v>
      </x:c>
      <x:c r="W25" s="23" t="n">
        <x:f>IFERROR(VLOOKUP(N25,'MI5 Scale'!$A$2:$D$8,4,FALSE),"")</x:f>
        <x:v>0.85</x:v>
      </x:c>
      <x:c r="X25" s="23" t="n">
        <x:f>IFERROR(VLOOKUP(O25,'MI5 Scale'!$A$2:$D$8,4,FALSE),"")</x:f>
        <x:v>0.65</x:v>
      </x:c>
      <x:c r="Y25" s="23" t="n">
        <x:f>IFERROR(POWER(P25,$F25/5),"")</x:f>
        <x:v>0.5094833744343357</x:v>
      </x:c>
      <x:c r="Z25" s="23" t="n">
        <x:f>IFERROR(POWER(Q25,$F25/5),"")</x:f>
        <x:v>0.7722323909917427</x:v>
      </x:c>
      <x:c r="AA25" s="23" t="n">
        <x:f>IFERROR(POWER(R25,$F25/5),"")</x:f>
        <x:v>0.7722323909917427</x:v>
      </x:c>
      <x:c r="AB25" s="23" t="n">
        <x:f>IFERROR(POWER(S25,$F25/5),"")</x:f>
        <x:v>0.6597539553864471</x:v>
      </x:c>
      <x:c r="AC25" s="23" t="n">
        <x:f>IFERROR(POWER(T25,$F25/5),"")</x:f>
        <x:v>0.6597539553864471</x:v>
      </x:c>
      <x:c r="AD25" s="23" t="n">
        <x:f>IFERROR(POWER(U25,$F25/5),"")</x:f>
        <x:v>0.7722323909917427</x:v>
      </x:c>
      <x:c r="AE25" s="23" t="n">
        <x:f>IFERROR(POWER(V25,$F25/5),"")</x:f>
        <x:v>0.7722323909917427</x:v>
      </x:c>
      <x:c r="AF25" s="23" t="n">
        <x:f>IFERROR(POWER(W25,$F25/5),"")</x:f>
        <x:v>0.9070920390192547</x:v>
      </x:c>
      <x:c r="AG25" s="23" t="n">
        <x:f>IFERROR(POWER(X25,$F25/5),"")</x:f>
        <x:v>0.7722323909917427</x:v>
      </x:c>
      <x:c r="AH25" s="22" t="str">
        <x:v>Rejected equivalence</x:v>
      </x:c>
      <x:c r="AI25" s="20" t="n">
        <x:f>IFERROR(LN(Y25),"")</x:f>
        <x:v>-0.6743580579914397</x:v>
      </x:c>
      <x:c r="AJ25" s="20" t="n">
        <x:f>IFERROR(LN(Z25),"")</x:f>
        <x:v>-0.2584697496554726</x:v>
      </x:c>
      <x:c r="AK25" s="20" t="n">
        <x:f>IFERROR(LN(AA25),"")</x:f>
        <x:v>-0.2584697496554726</x:v>
      </x:c>
      <x:c r="AL25" s="20" t="n">
        <x:f>IFERROR(LN(AB25),"")</x:f>
        <x:v>-0.41588830833596724</x:v>
      </x:c>
      <x:c r="AM25" s="20" t="n">
        <x:f>IFERROR(LN(AC25),"")</x:f>
        <x:v>-0.41588830833596724</x:v>
      </x:c>
      <x:c r="AN25" s="20" t="n">
        <x:f>IFERROR(LN(AD25),"")</x:f>
        <x:v>-0.2584697496554726</x:v>
      </x:c>
      <x:c r="AO25" s="20" t="n">
        <x:f>IFERROR(LN(AE25),"")</x:f>
        <x:v>-0.2584697496554726</x:v>
      </x:c>
      <x:c r="AP25" s="20" t="n">
        <x:f>IFERROR(LN(AF25),"")</x:f>
        <x:v>-0.09751135769866495</x:v>
      </x:c>
      <x:c r="AQ25" s="20" t="n">
        <x:f>IFERROR(LN(AG25),"")</x:f>
        <x:v>-0.2584697496554726</x:v>
      </x:c>
    </x:row>
    <x:row r="26" ht="15" hidden="0" customHeight="1">
      <x:c r="A26" s="22" t="str">
        <x:v>EV023</x:v>
      </x:c>
      <x:c r="B26" s="32"/>
      <x:c r="C26" s="22" t="str">
        <x:v>Patriarchal submission lacks moral basis</x:v>
      </x:c>
      <x:c r="D26" s="22" t="str">
        <x:v>Ethics</x:v>
      </x:c>
      <x:c r="E26" s="22" t="str">
        <x:v>Philosophy</x:v>
      </x:c>
      <x:c r="F26" s="33" t="n">
        <x:v>4</x:v>
      </x:c>
      <x:c r="G26" s="22" t="str">
        <x:v>Highly unlikely</x:v>
      </x:c>
      <x:c r="H26" s="22" t="str">
        <x:v>Highly likely</x:v>
      </x:c>
      <x:c r="I26" s="22" t="str">
        <x:v>Highly likely</x:v>
      </x:c>
      <x:c r="J26" s="22" t="str">
        <x:v>Unlikely</x:v>
      </x:c>
      <x:c r="K26" s="22" t="str">
        <x:v>Roughly even chance</x:v>
      </x:c>
      <x:c r="L26" s="22" t="str">
        <x:v>Likely / probable</x:v>
      </x:c>
      <x:c r="M26" s="22" t="str">
        <x:v>Likely / probable</x:v>
      </x:c>
      <x:c r="N26" s="22" t="str">
        <x:v>Highly likely</x:v>
      </x:c>
      <x:c r="O26" s="22" t="str">
        <x:v>Likely / probable</x:v>
      </x:c>
      <x:c r="P26" s="23" t="n">
        <x:f>IFERROR(VLOOKUP(G26,'MI5 Scale'!$A$2:$D$8,4,FALSE),"")</x:f>
        <x:v>0.125</x:v>
      </x:c>
      <x:c r="Q26" s="23" t="n">
        <x:f>IFERROR(VLOOKUP(H26,'MI5 Scale'!$A$2:$D$8,4,FALSE),"")</x:f>
        <x:v>0.85</x:v>
      </x:c>
      <x:c r="R26" s="23" t="n">
        <x:f>IFERROR(VLOOKUP(I26,'MI5 Scale'!$A$2:$D$8,4,FALSE),"")</x:f>
        <x:v>0.85</x:v>
      </x:c>
      <x:c r="S26" s="23" t="n">
        <x:f>IFERROR(VLOOKUP(J26,'MI5 Scale'!$A$2:$D$8,4,FALSE),"")</x:f>
        <x:v>0.325</x:v>
      </x:c>
      <x:c r="T26" s="23" t="n">
        <x:f>IFERROR(VLOOKUP(K26,'MI5 Scale'!$A$2:$D$8,4,FALSE),"")</x:f>
        <x:v>0.5</x:v>
      </x:c>
      <x:c r="U26" s="23" t="n">
        <x:f>IFERROR(VLOOKUP(L26,'MI5 Scale'!$A$2:$D$8,4,FALSE),"")</x:f>
        <x:v>0.65</x:v>
      </x:c>
      <x:c r="V26" s="23" t="n">
        <x:f>IFERROR(VLOOKUP(M26,'MI5 Scale'!$A$2:$D$8,4,FALSE),"")</x:f>
        <x:v>0.65</x:v>
      </x:c>
      <x:c r="W26" s="23" t="n">
        <x:f>IFERROR(VLOOKUP(N26,'MI5 Scale'!$A$2:$D$8,4,FALSE),"")</x:f>
        <x:v>0.85</x:v>
      </x:c>
      <x:c r="X26" s="23" t="n">
        <x:f>IFERROR(VLOOKUP(O26,'MI5 Scale'!$A$2:$D$8,4,FALSE),"")</x:f>
        <x:v>0.65</x:v>
      </x:c>
      <x:c r="Y26" s="23" t="n">
        <x:f>IFERROR(POWER(P26,$F26/5),"")</x:f>
        <x:v>0.18946457081379975</x:v>
      </x:c>
      <x:c r="Z26" s="23" t="n">
        <x:f>IFERROR(POWER(Q26,$F26/5),"")</x:f>
        <x:v>0.8780821334968424</x:v>
      </x:c>
      <x:c r="AA26" s="23" t="n">
        <x:f>IFERROR(POWER(R26,$F26/5),"")</x:f>
        <x:v>0.8780821334968424</x:v>
      </x:c>
      <x:c r="AB26" s="23" t="n">
        <x:f>IFERROR(POWER(S26,$F26/5),"")</x:f>
        <x:v>0.4069178009022941</x:v>
      </x:c>
      <x:c r="AC26" s="23" t="n">
        <x:f>IFERROR(POWER(T26,$F26/5),"")</x:f>
        <x:v>0.5743491774985174</x:v>
      </x:c>
      <x:c r="AD26" s="23" t="n">
        <x:f>IFERROR(POWER(U26,$F26/5),"")</x:f>
        <x:v>0.7084850415814244</x:v>
      </x:c>
      <x:c r="AE26" s="23" t="n">
        <x:f>IFERROR(POWER(V26,$F26/5),"")</x:f>
        <x:v>0.7084850415814244</x:v>
      </x:c>
      <x:c r="AF26" s="23" t="n">
        <x:f>IFERROR(POWER(W26,$F26/5),"")</x:f>
        <x:v>0.8780821334968424</x:v>
      </x:c>
      <x:c r="AG26" s="23" t="n">
        <x:f>IFERROR(POWER(X26,$F26/5),"")</x:f>
        <x:v>0.7084850415814244</x:v>
      </x:c>
      <x:c r="AH26" s="22" t="str">
        <x:v>Strong rejection</x:v>
      </x:c>
      <x:c r="AI26" s="20" t="n">
        <x:f>IFERROR(LN(Y26),"")</x:f>
        <x:v>-1.6635532333438687</x:v>
      </x:c>
      <x:c r="AJ26" s="20" t="n">
        <x:f>IFERROR(LN(Z26),"")</x:f>
        <x:v>-0.13001514359821992</x:v>
      </x:c>
      <x:c r="AK26" s="20" t="n">
        <x:f>IFERROR(LN(AA26),"")</x:f>
        <x:v>-0.13001514359821992</x:v>
      </x:c>
      <x:c r="AL26" s="20" t="n">
        <x:f>IFERROR(LN(AB26),"")</x:f>
        <x:v>-0.8991440773219196</x:v>
      </x:c>
      <x:c r="AM26" s="20" t="n">
        <x:f>IFERROR(LN(AC26),"")</x:f>
        <x:v>-0.5545177444479563</x:v>
      </x:c>
      <x:c r="AN26" s="20" t="n">
        <x:f>IFERROR(LN(AD26),"")</x:f>
        <x:v>-0.34462633287396344</x:v>
      </x:c>
      <x:c r="AO26" s="20" t="n">
        <x:f>IFERROR(LN(AE26),"")</x:f>
        <x:v>-0.34462633287396344</x:v>
      </x:c>
      <x:c r="AP26" s="20" t="n">
        <x:f>IFERROR(LN(AF26),"")</x:f>
        <x:v>-0.13001514359821992</x:v>
      </x:c>
      <x:c r="AQ26" s="20" t="n">
        <x:f>IFERROR(LN(AG26),"")</x:f>
        <x:v>-0.34462633287396344</x:v>
      </x:c>
    </x:row>
    <x:row r="27" ht="15" hidden="0" customHeight="1">
      <x:c r="A27" s="22" t="str">
        <x:v>EV024</x:v>
      </x:c>
      <x:c r="B27" s="32"/>
      <x:c r="C27" s="22" t="str">
        <x:v>Divorce better explained by harm principle</x:v>
      </x:c>
      <x:c r="D27" s="22" t="str">
        <x:v>Ethics</x:v>
      </x:c>
      <x:c r="E27" s="22" t="str">
        <x:v>Philosophy</x:v>
      </x:c>
      <x:c r="F27" s="33" t="n">
        <x:v>3</x:v>
      </x:c>
      <x:c r="G27" s="22" t="str">
        <x:v>Unlikely</x:v>
      </x:c>
      <x:c r="H27" s="22" t="str">
        <x:v>Likely / probable</x:v>
      </x:c>
      <x:c r="I27" s="22" t="str">
        <x:v>Likely / probable</x:v>
      </x:c>
      <x:c r="J27" s="22" t="str">
        <x:v>Roughly even chance</x:v>
      </x:c>
      <x:c r="K27" s="22" t="str">
        <x:v>Roughly even chance</x:v>
      </x:c>
      <x:c r="L27" s="22" t="str">
        <x:v>Likely / probable</x:v>
      </x:c>
      <x:c r="M27" s="22" t="str">
        <x:v>Likely / probable</x:v>
      </x:c>
      <x:c r="N27" s="22" t="str">
        <x:v>Highly likely</x:v>
      </x:c>
      <x:c r="O27" s="22" t="str">
        <x:v>Likely / probable</x:v>
      </x:c>
      <x:c r="P27" s="23" t="n">
        <x:f>IFERROR(VLOOKUP(G27,'MI5 Scale'!$A$2:$D$8,4,FALSE),"")</x:f>
        <x:v>0.325</x:v>
      </x:c>
      <x:c r="Q27" s="23" t="n">
        <x:f>IFERROR(VLOOKUP(H27,'MI5 Scale'!$A$2:$D$8,4,FALSE),"")</x:f>
        <x:v>0.65</x:v>
      </x:c>
      <x:c r="R27" s="23" t="n">
        <x:f>IFERROR(VLOOKUP(I27,'MI5 Scale'!$A$2:$D$8,4,FALSE),"")</x:f>
        <x:v>0.65</x:v>
      </x:c>
      <x:c r="S27" s="23" t="n">
        <x:f>IFERROR(VLOOKUP(J27,'MI5 Scale'!$A$2:$D$8,4,FALSE),"")</x:f>
        <x:v>0.5</x:v>
      </x:c>
      <x:c r="T27" s="23" t="n">
        <x:f>IFERROR(VLOOKUP(K27,'MI5 Scale'!$A$2:$D$8,4,FALSE),"")</x:f>
        <x:v>0.5</x:v>
      </x:c>
      <x:c r="U27" s="23" t="n">
        <x:f>IFERROR(VLOOKUP(L27,'MI5 Scale'!$A$2:$D$8,4,FALSE),"")</x:f>
        <x:v>0.65</x:v>
      </x:c>
      <x:c r="V27" s="23" t="n">
        <x:f>IFERROR(VLOOKUP(M27,'MI5 Scale'!$A$2:$D$8,4,FALSE),"")</x:f>
        <x:v>0.65</x:v>
      </x:c>
      <x:c r="W27" s="23" t="n">
        <x:f>IFERROR(VLOOKUP(N27,'MI5 Scale'!$A$2:$D$8,4,FALSE),"")</x:f>
        <x:v>0.85</x:v>
      </x:c>
      <x:c r="X27" s="23" t="n">
        <x:f>IFERROR(VLOOKUP(O27,'MI5 Scale'!$A$2:$D$8,4,FALSE),"")</x:f>
        <x:v>0.65</x:v>
      </x:c>
      <x:c r="Y27" s="23" t="n">
        <x:f>IFERROR(POWER(P27,$F27/5),"")</x:f>
        <x:v>0.5094833744343357</x:v>
      </x:c>
      <x:c r="Z27" s="23" t="n">
        <x:f>IFERROR(POWER(Q27,$F27/5),"")</x:f>
        <x:v>0.7722323909917427</x:v>
      </x:c>
      <x:c r="AA27" s="23" t="n">
        <x:f>IFERROR(POWER(R27,$F27/5),"")</x:f>
        <x:v>0.7722323909917427</x:v>
      </x:c>
      <x:c r="AB27" s="23" t="n">
        <x:f>IFERROR(POWER(S27,$F27/5),"")</x:f>
        <x:v>0.6597539553864471</x:v>
      </x:c>
      <x:c r="AC27" s="23" t="n">
        <x:f>IFERROR(POWER(T27,$F27/5),"")</x:f>
        <x:v>0.6597539553864471</x:v>
      </x:c>
      <x:c r="AD27" s="23" t="n">
        <x:f>IFERROR(POWER(U27,$F27/5),"")</x:f>
        <x:v>0.7722323909917427</x:v>
      </x:c>
      <x:c r="AE27" s="23" t="n">
        <x:f>IFERROR(POWER(V27,$F27/5),"")</x:f>
        <x:v>0.7722323909917427</x:v>
      </x:c>
      <x:c r="AF27" s="23" t="n">
        <x:f>IFERROR(POWER(W27,$F27/5),"")</x:f>
        <x:v>0.9070920390192547</x:v>
      </x:c>
      <x:c r="AG27" s="23" t="n">
        <x:f>IFERROR(POWER(X27,$F27/5),"")</x:f>
        <x:v>0.7722323909917427</x:v>
      </x:c>
      <x:c r="AH27" s="22" t="str">
        <x:v>Reframed</x:v>
      </x:c>
      <x:c r="AI27" s="20" t="n">
        <x:f>IFERROR(LN(Y27),"")</x:f>
        <x:v>-0.6743580579914397</x:v>
      </x:c>
      <x:c r="AJ27" s="20" t="n">
        <x:f>IFERROR(LN(Z27),"")</x:f>
        <x:v>-0.2584697496554726</x:v>
      </x:c>
      <x:c r="AK27" s="20" t="n">
        <x:f>IFERROR(LN(AA27),"")</x:f>
        <x:v>-0.2584697496554726</x:v>
      </x:c>
      <x:c r="AL27" s="20" t="n">
        <x:f>IFERROR(LN(AB27),"")</x:f>
        <x:v>-0.41588830833596724</x:v>
      </x:c>
      <x:c r="AM27" s="20" t="n">
        <x:f>IFERROR(LN(AC27),"")</x:f>
        <x:v>-0.41588830833596724</x:v>
      </x:c>
      <x:c r="AN27" s="20" t="n">
        <x:f>IFERROR(LN(AD27),"")</x:f>
        <x:v>-0.2584697496554726</x:v>
      </x:c>
      <x:c r="AO27" s="20" t="n">
        <x:f>IFERROR(LN(AE27),"")</x:f>
        <x:v>-0.2584697496554726</x:v>
      </x:c>
      <x:c r="AP27" s="20" t="n">
        <x:f>IFERROR(LN(AF27),"")</x:f>
        <x:v>-0.09751135769866495</x:v>
      </x:c>
      <x:c r="AQ27" s="20" t="n">
        <x:f>IFERROR(LN(AG27),"")</x:f>
        <x:v>-0.2584697496554726</x:v>
      </x:c>
    </x:row>
    <x:row r="28" ht="15" hidden="0" customHeight="1">
      <x:c r="A28" s="22" t="str">
        <x:v>EV025</x:v>
      </x:c>
      <x:c r="B28" s="32"/>
      <x:c r="C28" s="22" t="str">
        <x:v>Tithing not objectively required</x:v>
      </x:c>
      <x:c r="D28" s="22" t="str">
        <x:v>Ethics</x:v>
      </x:c>
      <x:c r="E28" s="22" t="str">
        <x:v>General</x:v>
      </x:c>
      <x:c r="F28" s="33" t="n">
        <x:v>2</x:v>
      </x:c>
      <x:c r="G28" s="22" t="str">
        <x:v>Unlikely</x:v>
      </x:c>
      <x:c r="H28" s="22" t="str">
        <x:v>Likely / probable</x:v>
      </x:c>
      <x:c r="I28" s="22" t="str">
        <x:v>Likely / probable</x:v>
      </x:c>
      <x:c r="J28" s="22" t="str">
        <x:v>Roughly even chance</x:v>
      </x:c>
      <x:c r="K28" s="22" t="str">
        <x:v>Roughly even chance</x:v>
      </x:c>
      <x:c r="L28" s="22" t="str">
        <x:v>Likely / probable</x:v>
      </x:c>
      <x:c r="M28" s="22" t="str">
        <x:v>Likely / probable</x:v>
      </x:c>
      <x:c r="N28" s="22" t="str">
        <x:v>Highly likely</x:v>
      </x:c>
      <x:c r="O28" s="22" t="str">
        <x:v>Likely / probable</x:v>
      </x:c>
      <x:c r="P28" s="23" t="n">
        <x:f>IFERROR(VLOOKUP(G28,'MI5 Scale'!$A$2:$D$8,4,FALSE),"")</x:f>
        <x:v>0.325</x:v>
      </x:c>
      <x:c r="Q28" s="23" t="n">
        <x:f>IFERROR(VLOOKUP(H28,'MI5 Scale'!$A$2:$D$8,4,FALSE),"")</x:f>
        <x:v>0.65</x:v>
      </x:c>
      <x:c r="R28" s="23" t="n">
        <x:f>IFERROR(VLOOKUP(I28,'MI5 Scale'!$A$2:$D$8,4,FALSE),"")</x:f>
        <x:v>0.65</x:v>
      </x:c>
      <x:c r="S28" s="23" t="n">
        <x:f>IFERROR(VLOOKUP(J28,'MI5 Scale'!$A$2:$D$8,4,FALSE),"")</x:f>
        <x:v>0.5</x:v>
      </x:c>
      <x:c r="T28" s="23" t="n">
        <x:f>IFERROR(VLOOKUP(K28,'MI5 Scale'!$A$2:$D$8,4,FALSE),"")</x:f>
        <x:v>0.5</x:v>
      </x:c>
      <x:c r="U28" s="23" t="n">
        <x:f>IFERROR(VLOOKUP(L28,'MI5 Scale'!$A$2:$D$8,4,FALSE),"")</x:f>
        <x:v>0.65</x:v>
      </x:c>
      <x:c r="V28" s="23" t="n">
        <x:f>IFERROR(VLOOKUP(M28,'MI5 Scale'!$A$2:$D$8,4,FALSE),"")</x:f>
        <x:v>0.65</x:v>
      </x:c>
      <x:c r="W28" s="23" t="n">
        <x:f>IFERROR(VLOOKUP(N28,'MI5 Scale'!$A$2:$D$8,4,FALSE),"")</x:f>
        <x:v>0.85</x:v>
      </x:c>
      <x:c r="X28" s="23" t="n">
        <x:f>IFERROR(VLOOKUP(O28,'MI5 Scale'!$A$2:$D$8,4,FALSE),"")</x:f>
        <x:v>0.65</x:v>
      </x:c>
      <x:c r="Y28" s="23" t="n">
        <x:f>IFERROR(POWER(P28,$F28/5),"")</x:f>
        <x:v>0.6379010902187691</x:v>
      </x:c>
      <x:c r="Z28" s="23" t="n">
        <x:f>IFERROR(POWER(Q28,$F28/5),"")</x:f>
        <x:v>0.8417155348343195</x:v>
      </x:c>
      <x:c r="AA28" s="23" t="n">
        <x:f>IFERROR(POWER(R28,$F28/5),"")</x:f>
        <x:v>0.8417155348343195</x:v>
      </x:c>
      <x:c r="AB28" s="23" t="n">
        <x:f>IFERROR(POWER(S28,$F28/5),"")</x:f>
        <x:v>0.757858283255199</x:v>
      </x:c>
      <x:c r="AC28" s="23" t="n">
        <x:f>IFERROR(POWER(T28,$F28/5),"")</x:f>
        <x:v>0.757858283255199</x:v>
      </x:c>
      <x:c r="AD28" s="23" t="n">
        <x:f>IFERROR(POWER(U28,$F28/5),"")</x:f>
        <x:v>0.8417155348343195</x:v>
      </x:c>
      <x:c r="AE28" s="23" t="n">
        <x:f>IFERROR(POWER(V28,$F28/5),"")</x:f>
        <x:v>0.8417155348343195</x:v>
      </x:c>
      <x:c r="AF28" s="23" t="n">
        <x:f>IFERROR(POWER(W28,$F28/5),"")</x:f>
        <x:v>0.9370603681176802</x:v>
      </x:c>
      <x:c r="AG28" s="23" t="n">
        <x:f>IFERROR(POWER(X28,$F28/5),"")</x:f>
        <x:v>0.8417155348343195</x:v>
      </x:c>
      <x:c r="AH28" s="22" t="str">
        <x:v>Cultural norm</x:v>
      </x:c>
      <x:c r="AI28" s="20" t="n">
        <x:f>IFERROR(LN(Y28),"")</x:f>
        <x:v>-0.4495720386609598</x:v>
      </x:c>
      <x:c r="AJ28" s="20" t="n">
        <x:f>IFERROR(LN(Z28),"")</x:f>
        <x:v>-0.17231316643698166</x:v>
      </x:c>
      <x:c r="AK28" s="20" t="n">
        <x:f>IFERROR(LN(AA28),"")</x:f>
        <x:v>-0.17231316643698166</x:v>
      </x:c>
      <x:c r="AL28" s="20" t="n">
        <x:f>IFERROR(LN(AB28),"")</x:f>
        <x:v>-0.27725887222397816</x:v>
      </x:c>
      <x:c r="AM28" s="20" t="n">
        <x:f>IFERROR(LN(AC28),"")</x:f>
        <x:v>-0.27725887222397816</x:v>
      </x:c>
      <x:c r="AN28" s="20" t="n">
        <x:f>IFERROR(LN(AD28),"")</x:f>
        <x:v>-0.17231316643698166</x:v>
      </x:c>
      <x:c r="AO28" s="20" t="n">
        <x:f>IFERROR(LN(AE28),"")</x:f>
        <x:v>-0.17231316643698166</x:v>
      </x:c>
      <x:c r="AP28" s="20" t="n">
        <x:f>IFERROR(LN(AF28),"")</x:f>
        <x:v>-0.06500757179910996</x:v>
      </x:c>
      <x:c r="AQ28" s="20" t="n">
        <x:f>IFERROR(LN(AG28),"")</x:f>
        <x:v>-0.17231316643698166</x:v>
      </x:c>
    </x:row>
    <x:row r="29" ht="15" hidden="0" customHeight="1">
      <x:c r="A29" s="22" t="str">
        <x:v>EV026</x:v>
      </x:c>
      <x:c r="B29" s="32"/>
      <x:c r="C29" s="22" t="str">
        <x:v>Debt as bondage (practical truth)</x:v>
      </x:c>
      <x:c r="D29" s="22" t="str">
        <x:v>Ethics</x:v>
      </x:c>
      <x:c r="E29" s="22" t="str">
        <x:v>Economics</x:v>
      </x:c>
      <x:c r="F29" s="33" t="n">
        <x:v>2</x:v>
      </x:c>
      <x:c r="G29" s="22" t="str">
        <x:v>Likely / probable</x:v>
      </x:c>
      <x:c r="H29" s="22" t="str">
        <x:v>Likely / probable</x:v>
      </x:c>
      <x:c r="I29" s="22" t="str">
        <x:v>Likely / probable</x:v>
      </x:c>
      <x:c r="J29" s="22" t="str">
        <x:v>Likely / probable</x:v>
      </x:c>
      <x:c r="K29" s="22" t="str">
        <x:v>Likely / probable</x:v>
      </x:c>
      <x:c r="L29" s="22" t="str">
        <x:v>Likely / probable</x:v>
      </x:c>
      <x:c r="M29" s="22" t="str">
        <x:v>Likely / probable</x:v>
      </x:c>
      <x:c r="N29" s="22" t="str">
        <x:v>Likely / probable</x:v>
      </x:c>
      <x:c r="O29" s="22" t="str">
        <x:v>Likely / probable</x:v>
      </x:c>
      <x:c r="P29" s="23" t="n">
        <x:f>IFERROR(VLOOKUP(G29,'MI5 Scale'!$A$2:$D$8,4,FALSE),"")</x:f>
        <x:v>0.65</x:v>
      </x:c>
      <x:c r="Q29" s="23" t="n">
        <x:f>IFERROR(VLOOKUP(H29,'MI5 Scale'!$A$2:$D$8,4,FALSE),"")</x:f>
        <x:v>0.65</x:v>
      </x:c>
      <x:c r="R29" s="23" t="n">
        <x:f>IFERROR(VLOOKUP(I29,'MI5 Scale'!$A$2:$D$8,4,FALSE),"")</x:f>
        <x:v>0.65</x:v>
      </x:c>
      <x:c r="S29" s="23" t="n">
        <x:f>IFERROR(VLOOKUP(J29,'MI5 Scale'!$A$2:$D$8,4,FALSE),"")</x:f>
        <x:v>0.65</x:v>
      </x:c>
      <x:c r="T29" s="23" t="n">
        <x:f>IFERROR(VLOOKUP(K29,'MI5 Scale'!$A$2:$D$8,4,FALSE),"")</x:f>
        <x:v>0.65</x:v>
      </x:c>
      <x:c r="U29" s="23" t="n">
        <x:f>IFERROR(VLOOKUP(L29,'MI5 Scale'!$A$2:$D$8,4,FALSE),"")</x:f>
        <x:v>0.65</x:v>
      </x:c>
      <x:c r="V29" s="23" t="n">
        <x:f>IFERROR(VLOOKUP(M29,'MI5 Scale'!$A$2:$D$8,4,FALSE),"")</x:f>
        <x:v>0.65</x:v>
      </x:c>
      <x:c r="W29" s="23" t="n">
        <x:f>IFERROR(VLOOKUP(N29,'MI5 Scale'!$A$2:$D$8,4,FALSE),"")</x:f>
        <x:v>0.65</x:v>
      </x:c>
      <x:c r="X29" s="23" t="n">
        <x:f>IFERROR(VLOOKUP(O29,'MI5 Scale'!$A$2:$D$8,4,FALSE),"")</x:f>
        <x:v>0.65</x:v>
      </x:c>
      <x:c r="Y29" s="23" t="n">
        <x:f>IFERROR(POWER(P29,$F29/5),"")</x:f>
        <x:v>0.8417155348343195</x:v>
      </x:c>
      <x:c r="Z29" s="23" t="n">
        <x:f>IFERROR(POWER(Q29,$F29/5),"")</x:f>
        <x:v>0.8417155348343195</x:v>
      </x:c>
      <x:c r="AA29" s="23" t="n">
        <x:f>IFERROR(POWER(R29,$F29/5),"")</x:f>
        <x:v>0.8417155348343195</x:v>
      </x:c>
      <x:c r="AB29" s="23" t="n">
        <x:f>IFERROR(POWER(S29,$F29/5),"")</x:f>
        <x:v>0.8417155348343195</x:v>
      </x:c>
      <x:c r="AC29" s="23" t="n">
        <x:f>IFERROR(POWER(T29,$F29/5),"")</x:f>
        <x:v>0.8417155348343195</x:v>
      </x:c>
      <x:c r="AD29" s="23" t="n">
        <x:f>IFERROR(POWER(U29,$F29/5),"")</x:f>
        <x:v>0.8417155348343195</x:v>
      </x:c>
      <x:c r="AE29" s="23" t="n">
        <x:f>IFERROR(POWER(V29,$F29/5),"")</x:f>
        <x:v>0.8417155348343195</x:v>
      </x:c>
      <x:c r="AF29" s="23" t="n">
        <x:f>IFERROR(POWER(W29,$F29/5),"")</x:f>
        <x:v>0.8417155348343195</x:v>
      </x:c>
      <x:c r="AG29" s="23" t="n">
        <x:f>IFERROR(POWER(X29,$F29/5),"")</x:f>
        <x:v>0.8417155348343195</x:v>
      </x:c>
      <x:c r="AH29" s="22" t="str">
        <x:v>Non-theological</x:v>
      </x:c>
      <x:c r="AI29" s="20" t="n">
        <x:f>IFERROR(LN(Y29),"")</x:f>
        <x:v>-0.17231316643698166</x:v>
      </x:c>
      <x:c r="AJ29" s="20" t="n">
        <x:f>IFERROR(LN(Z29),"")</x:f>
        <x:v>-0.17231316643698166</x:v>
      </x:c>
      <x:c r="AK29" s="20" t="n">
        <x:f>IFERROR(LN(AA29),"")</x:f>
        <x:v>-0.17231316643698166</x:v>
      </x:c>
      <x:c r="AL29" s="20" t="n">
        <x:f>IFERROR(LN(AB29),"")</x:f>
        <x:v>-0.17231316643698166</x:v>
      </x:c>
      <x:c r="AM29" s="20" t="n">
        <x:f>IFERROR(LN(AC29),"")</x:f>
        <x:v>-0.17231316643698166</x:v>
      </x:c>
      <x:c r="AN29" s="20" t="n">
        <x:f>IFERROR(LN(AD29),"")</x:f>
        <x:v>-0.17231316643698166</x:v>
      </x:c>
      <x:c r="AO29" s="20" t="n">
        <x:f>IFERROR(LN(AE29),"")</x:f>
        <x:v>-0.17231316643698166</x:v>
      </x:c>
      <x:c r="AP29" s="20" t="n">
        <x:f>IFERROR(LN(AF29),"")</x:f>
        <x:v>-0.17231316643698166</x:v>
      </x:c>
      <x:c r="AQ29" s="20" t="n">
        <x:f>IFERROR(LN(AG29),"")</x:f>
        <x:v>-0.17231316643698166</x:v>
      </x:c>
    </x:row>
    <x:row r="30" ht="15" hidden="0" customHeight="1">
      <x:c r="A30" s="22" t="str">
        <x:v>EV027</x:v>
      </x:c>
      <x:c r="B30" s="32"/>
      <x:c r="C30" s="22" t="str">
        <x:v>Alcohol neutral outside abuse</x:v>
      </x:c>
      <x:c r="D30" s="22" t="str">
        <x:v>Ethics</x:v>
      </x:c>
      <x:c r="E30" s="22" t="str">
        <x:v>Health</x:v>
      </x:c>
      <x:c r="F30" s="33" t="n">
        <x:v>2</x:v>
      </x:c>
      <x:c r="G30" s="22" t="str">
        <x:v>Unlikely</x:v>
      </x:c>
      <x:c r="H30" s="22" t="str">
        <x:v>Likely / probable</x:v>
      </x:c>
      <x:c r="I30" s="22" t="str">
        <x:v>Likely / probable</x:v>
      </x:c>
      <x:c r="J30" s="22" t="str">
        <x:v>Roughly even chance</x:v>
      </x:c>
      <x:c r="K30" s="22" t="str">
        <x:v>Roughly even chance</x:v>
      </x:c>
      <x:c r="L30" s="22" t="str">
        <x:v>Likely / probable</x:v>
      </x:c>
      <x:c r="M30" s="22" t="str">
        <x:v>Likely / probable</x:v>
      </x:c>
      <x:c r="N30" s="22" t="str">
        <x:v>Highly likely</x:v>
      </x:c>
      <x:c r="O30" s="22" t="str">
        <x:v>Likely / probable</x:v>
      </x:c>
      <x:c r="P30" s="23" t="n">
        <x:f>IFERROR(VLOOKUP(G30,'MI5 Scale'!$A$2:$D$8,4,FALSE),"")</x:f>
        <x:v>0.325</x:v>
      </x:c>
      <x:c r="Q30" s="23" t="n">
        <x:f>IFERROR(VLOOKUP(H30,'MI5 Scale'!$A$2:$D$8,4,FALSE),"")</x:f>
        <x:v>0.65</x:v>
      </x:c>
      <x:c r="R30" s="23" t="n">
        <x:f>IFERROR(VLOOKUP(I30,'MI5 Scale'!$A$2:$D$8,4,FALSE),"")</x:f>
        <x:v>0.65</x:v>
      </x:c>
      <x:c r="S30" s="23" t="n">
        <x:f>IFERROR(VLOOKUP(J30,'MI5 Scale'!$A$2:$D$8,4,FALSE),"")</x:f>
        <x:v>0.5</x:v>
      </x:c>
      <x:c r="T30" s="23" t="n">
        <x:f>IFERROR(VLOOKUP(K30,'MI5 Scale'!$A$2:$D$8,4,FALSE),"")</x:f>
        <x:v>0.5</x:v>
      </x:c>
      <x:c r="U30" s="23" t="n">
        <x:f>IFERROR(VLOOKUP(L30,'MI5 Scale'!$A$2:$D$8,4,FALSE),"")</x:f>
        <x:v>0.65</x:v>
      </x:c>
      <x:c r="V30" s="23" t="n">
        <x:f>IFERROR(VLOOKUP(M30,'MI5 Scale'!$A$2:$D$8,4,FALSE),"")</x:f>
        <x:v>0.65</x:v>
      </x:c>
      <x:c r="W30" s="23" t="n">
        <x:f>IFERROR(VLOOKUP(N30,'MI5 Scale'!$A$2:$D$8,4,FALSE),"")</x:f>
        <x:v>0.85</x:v>
      </x:c>
      <x:c r="X30" s="23" t="n">
        <x:f>IFERROR(VLOOKUP(O30,'MI5 Scale'!$A$2:$D$8,4,FALSE),"")</x:f>
        <x:v>0.65</x:v>
      </x:c>
      <x:c r="Y30" s="23" t="n">
        <x:f>IFERROR(POWER(P30,$F30/5),"")</x:f>
        <x:v>0.6379010902187691</x:v>
      </x:c>
      <x:c r="Z30" s="23" t="n">
        <x:f>IFERROR(POWER(Q30,$F30/5),"")</x:f>
        <x:v>0.8417155348343195</x:v>
      </x:c>
      <x:c r="AA30" s="23" t="n">
        <x:f>IFERROR(POWER(R30,$F30/5),"")</x:f>
        <x:v>0.8417155348343195</x:v>
      </x:c>
      <x:c r="AB30" s="23" t="n">
        <x:f>IFERROR(POWER(S30,$F30/5),"")</x:f>
        <x:v>0.757858283255199</x:v>
      </x:c>
      <x:c r="AC30" s="23" t="n">
        <x:f>IFERROR(POWER(T30,$F30/5),"")</x:f>
        <x:v>0.757858283255199</x:v>
      </x:c>
      <x:c r="AD30" s="23" t="n">
        <x:f>IFERROR(POWER(U30,$F30/5),"")</x:f>
        <x:v>0.8417155348343195</x:v>
      </x:c>
      <x:c r="AE30" s="23" t="n">
        <x:f>IFERROR(POWER(V30,$F30/5),"")</x:f>
        <x:v>0.8417155348343195</x:v>
      </x:c>
      <x:c r="AF30" s="23" t="n">
        <x:f>IFERROR(POWER(W30,$F30/5),"")</x:f>
        <x:v>0.9370603681176802</x:v>
      </x:c>
      <x:c r="AG30" s="23" t="n">
        <x:f>IFERROR(POWER(X30,$F30/5),"")</x:f>
        <x:v>0.8417155348343195</x:v>
      </x:c>
      <x:c r="AH30" s="22" t="str">
        <x:v>Reframed</x:v>
      </x:c>
      <x:c r="AI30" s="20" t="n">
        <x:f>IFERROR(LN(Y30),"")</x:f>
        <x:v>-0.4495720386609598</x:v>
      </x:c>
      <x:c r="AJ30" s="20" t="n">
        <x:f>IFERROR(LN(Z30),"")</x:f>
        <x:v>-0.17231316643698166</x:v>
      </x:c>
      <x:c r="AK30" s="20" t="n">
        <x:f>IFERROR(LN(AA30),"")</x:f>
        <x:v>-0.17231316643698166</x:v>
      </x:c>
      <x:c r="AL30" s="20" t="n">
        <x:f>IFERROR(LN(AB30),"")</x:f>
        <x:v>-0.27725887222397816</x:v>
      </x:c>
      <x:c r="AM30" s="20" t="n">
        <x:f>IFERROR(LN(AC30),"")</x:f>
        <x:v>-0.27725887222397816</x:v>
      </x:c>
      <x:c r="AN30" s="20" t="n">
        <x:f>IFERROR(LN(AD30),"")</x:f>
        <x:v>-0.17231316643698166</x:v>
      </x:c>
      <x:c r="AO30" s="20" t="n">
        <x:f>IFERROR(LN(AE30),"")</x:f>
        <x:v>-0.17231316643698166</x:v>
      </x:c>
      <x:c r="AP30" s="20" t="n">
        <x:f>IFERROR(LN(AF30),"")</x:f>
        <x:v>-0.06500757179910996</x:v>
      </x:c>
      <x:c r="AQ30" s="20" t="n">
        <x:f>IFERROR(LN(AG30),"")</x:f>
        <x:v>-0.17231316643698166</x:v>
      </x:c>
    </x:row>
    <x:row r="31" ht="15" hidden="0" customHeight="1">
      <x:c r="A31" s="22" t="str">
        <x:v>EV028</x:v>
      </x:c>
      <x:c r="B31" s="32"/>
      <x:c r="C31" s="22" t="str">
        <x:v>“Worldliness” categories arbitrary</x:v>
      </x:c>
      <x:c r="D31" s="22" t="str">
        <x:v>Culture</x:v>
      </x:c>
      <x:c r="E31" s="22" t="str">
        <x:v>Sociology</x:v>
      </x:c>
      <x:c r="F31" s="33" t="n">
        <x:v>3</x:v>
      </x:c>
      <x:c r="G31" s="22" t="str">
        <x:v>Highly unlikely</x:v>
      </x:c>
      <x:c r="H31" s="22" t="str">
        <x:v>Highly likely</x:v>
      </x:c>
      <x:c r="I31" s="22" t="str">
        <x:v>Highly likely</x:v>
      </x:c>
      <x:c r="J31" s="22" t="str">
        <x:v>Roughly even chance</x:v>
      </x:c>
      <x:c r="K31" s="22" t="str">
        <x:v>Roughly even chance</x:v>
      </x:c>
      <x:c r="L31" s="22" t="str">
        <x:v>Roughly even chance</x:v>
      </x:c>
      <x:c r="M31" s="22" t="str">
        <x:v>Roughly even chance</x:v>
      </x:c>
      <x:c r="N31" s="22" t="str">
        <x:v>Highly likely</x:v>
      </x:c>
      <x:c r="O31" s="22" t="str">
        <x:v>Likely / probable</x:v>
      </x:c>
      <x:c r="P31" s="23" t="n">
        <x:f>IFERROR(VLOOKUP(G31,'MI5 Scale'!$A$2:$D$8,4,FALSE),"")</x:f>
        <x:v>0.125</x:v>
      </x:c>
      <x:c r="Q31" s="23" t="n">
        <x:f>IFERROR(VLOOKUP(H31,'MI5 Scale'!$A$2:$D$8,4,FALSE),"")</x:f>
        <x:v>0.85</x:v>
      </x:c>
      <x:c r="R31" s="23" t="n">
        <x:f>IFERROR(VLOOKUP(I31,'MI5 Scale'!$A$2:$D$8,4,FALSE),"")</x:f>
        <x:v>0.85</x:v>
      </x:c>
      <x:c r="S31" s="23" t="n">
        <x:f>IFERROR(VLOOKUP(J31,'MI5 Scale'!$A$2:$D$8,4,FALSE),"")</x:f>
        <x:v>0.5</x:v>
      </x:c>
      <x:c r="T31" s="23" t="n">
        <x:f>IFERROR(VLOOKUP(K31,'MI5 Scale'!$A$2:$D$8,4,FALSE),"")</x:f>
        <x:v>0.5</x:v>
      </x:c>
      <x:c r="U31" s="23" t="n">
        <x:f>IFERROR(VLOOKUP(L31,'MI5 Scale'!$A$2:$D$8,4,FALSE),"")</x:f>
        <x:v>0.5</x:v>
      </x:c>
      <x:c r="V31" s="23" t="n">
        <x:f>IFERROR(VLOOKUP(M31,'MI5 Scale'!$A$2:$D$8,4,FALSE),"")</x:f>
        <x:v>0.5</x:v>
      </x:c>
      <x:c r="W31" s="23" t="n">
        <x:f>IFERROR(VLOOKUP(N31,'MI5 Scale'!$A$2:$D$8,4,FALSE),"")</x:f>
        <x:v>0.85</x:v>
      </x:c>
      <x:c r="X31" s="23" t="n">
        <x:f>IFERROR(VLOOKUP(O31,'MI5 Scale'!$A$2:$D$8,4,FALSE),"")</x:f>
        <x:v>0.65</x:v>
      </x:c>
      <x:c r="Y31" s="23" t="n">
        <x:f>IFERROR(POWER(P31,$F31/5),"")</x:f>
        <x:v>0.2871745887492588</x:v>
      </x:c>
      <x:c r="Z31" s="23" t="n">
        <x:f>IFERROR(POWER(Q31,$F31/5),"")</x:f>
        <x:v>0.9070920390192547</x:v>
      </x:c>
      <x:c r="AA31" s="23" t="n">
        <x:f>IFERROR(POWER(R31,$F31/5),"")</x:f>
        <x:v>0.9070920390192547</x:v>
      </x:c>
      <x:c r="AB31" s="23" t="n">
        <x:f>IFERROR(POWER(S31,$F31/5),"")</x:f>
        <x:v>0.6597539553864471</x:v>
      </x:c>
      <x:c r="AC31" s="23" t="n">
        <x:f>IFERROR(POWER(T31,$F31/5),"")</x:f>
        <x:v>0.6597539553864471</x:v>
      </x:c>
      <x:c r="AD31" s="23" t="n">
        <x:f>IFERROR(POWER(U31,$F31/5),"")</x:f>
        <x:v>0.6597539553864471</x:v>
      </x:c>
      <x:c r="AE31" s="23" t="n">
        <x:f>IFERROR(POWER(V31,$F31/5),"")</x:f>
        <x:v>0.6597539553864471</x:v>
      </x:c>
      <x:c r="AF31" s="23" t="n">
        <x:f>IFERROR(POWER(W31,$F31/5),"")</x:f>
        <x:v>0.9070920390192547</x:v>
      </x:c>
      <x:c r="AG31" s="23" t="n">
        <x:f>IFERROR(POWER(X31,$F31/5),"")</x:f>
        <x:v>0.7722323909917427</x:v>
      </x:c>
      <x:c r="AH31" s="22" t="str">
        <x:v>Rejected framework</x:v>
      </x:c>
      <x:c r="AI31" s="20" t="n">
        <x:f>IFERROR(LN(Y31),"")</x:f>
        <x:v>-1.2476649250079015</x:v>
      </x:c>
      <x:c r="AJ31" s="20" t="n">
        <x:f>IFERROR(LN(Z31),"")</x:f>
        <x:v>-0.09751135769866495</x:v>
      </x:c>
      <x:c r="AK31" s="20" t="n">
        <x:f>IFERROR(LN(AA31),"")</x:f>
        <x:v>-0.09751135769866495</x:v>
      </x:c>
      <x:c r="AL31" s="20" t="n">
        <x:f>IFERROR(LN(AB31),"")</x:f>
        <x:v>-0.41588830833596724</x:v>
      </x:c>
      <x:c r="AM31" s="20" t="n">
        <x:f>IFERROR(LN(AC31),"")</x:f>
        <x:v>-0.41588830833596724</x:v>
      </x:c>
      <x:c r="AN31" s="20" t="n">
        <x:f>IFERROR(LN(AD31),"")</x:f>
        <x:v>-0.41588830833596724</x:v>
      </x:c>
      <x:c r="AO31" s="20" t="n">
        <x:f>IFERROR(LN(AE31),"")</x:f>
        <x:v>-0.41588830833596724</x:v>
      </x:c>
      <x:c r="AP31" s="20" t="n">
        <x:f>IFERROR(LN(AF31),"")</x:f>
        <x:v>-0.09751135769866495</x:v>
      </x:c>
      <x:c r="AQ31" s="20" t="n">
        <x:f>IFERROR(LN(AG31),"")</x:f>
        <x:v>-0.2584697496554726</x:v>
      </x:c>
    </x:row>
    <x:row r="32" ht="15" hidden="0" customHeight="1">
      <x:c r="A32" s="22" t="str">
        <x:v>EV029</x:v>
      </x:c>
      <x:c r="B32" s="32"/>
      <x:c r="C32" s="22" t="str">
        <x:v>Young Earth creationism contradicted by science</x:v>
      </x:c>
      <x:c r="D32" s="22" t="str">
        <x:v>Science</x:v>
      </x:c>
      <x:c r="E32" s="22" t="str">
        <x:v>Coyne</x:v>
      </x:c>
      <x:c r="F32" s="33" t="n">
        <x:v>5</x:v>
      </x:c>
      <x:c r="G32" s="22" t="str">
        <x:v>Highly unlikely</x:v>
      </x:c>
      <x:c r="H32" s="22" t="str">
        <x:v>Highly likely</x:v>
      </x:c>
      <x:c r="I32" s="22" t="str">
        <x:v>Highly likely</x:v>
      </x:c>
      <x:c r="J32" s="22" t="str">
        <x:v>Likely / probable</x:v>
      </x:c>
      <x:c r="K32" s="22" t="str">
        <x:v>Likely / probable</x:v>
      </x:c>
      <x:c r="L32" s="22" t="str">
        <x:v>Roughly even chance</x:v>
      </x:c>
      <x:c r="M32" s="22" t="str">
        <x:v>Roughly even chance</x:v>
      </x:c>
      <x:c r="N32" s="22" t="str">
        <x:v>Highly likely</x:v>
      </x:c>
      <x:c r="O32" s="22" t="str">
        <x:v>Highly likely</x:v>
      </x:c>
      <x:c r="P32" s="23" t="n">
        <x:f>IFERROR(VLOOKUP(G32,'MI5 Scale'!$A$2:$D$8,4,FALSE),"")</x:f>
        <x:v>0.125</x:v>
      </x:c>
      <x:c r="Q32" s="23" t="n">
        <x:f>IFERROR(VLOOKUP(H32,'MI5 Scale'!$A$2:$D$8,4,FALSE),"")</x:f>
        <x:v>0.85</x:v>
      </x:c>
      <x:c r="R32" s="23" t="n">
        <x:f>IFERROR(VLOOKUP(I32,'MI5 Scale'!$A$2:$D$8,4,FALSE),"")</x:f>
        <x:v>0.85</x:v>
      </x:c>
      <x:c r="S32" s="23" t="n">
        <x:f>IFERROR(VLOOKUP(J32,'MI5 Scale'!$A$2:$D$8,4,FALSE),"")</x:f>
        <x:v>0.65</x:v>
      </x:c>
      <x:c r="T32" s="23" t="n">
        <x:f>IFERROR(VLOOKUP(K32,'MI5 Scale'!$A$2:$D$8,4,FALSE),"")</x:f>
        <x:v>0.65</x:v>
      </x:c>
      <x:c r="U32" s="23" t="n">
        <x:f>IFERROR(VLOOKUP(L32,'MI5 Scale'!$A$2:$D$8,4,FALSE),"")</x:f>
        <x:v>0.5</x:v>
      </x:c>
      <x:c r="V32" s="23" t="n">
        <x:f>IFERROR(VLOOKUP(M32,'MI5 Scale'!$A$2:$D$8,4,FALSE),"")</x:f>
        <x:v>0.5</x:v>
      </x:c>
      <x:c r="W32" s="23" t="n">
        <x:f>IFERROR(VLOOKUP(N32,'MI5 Scale'!$A$2:$D$8,4,FALSE),"")</x:f>
        <x:v>0.85</x:v>
      </x:c>
      <x:c r="X32" s="23" t="n">
        <x:f>IFERROR(VLOOKUP(O32,'MI5 Scale'!$A$2:$D$8,4,FALSE),"")</x:f>
        <x:v>0.85</x:v>
      </x:c>
      <x:c r="Y32" s="23" t="n">
        <x:f>IFERROR(POWER(P32,$F32/5),"")</x:f>
        <x:v>0.125</x:v>
      </x:c>
      <x:c r="Z32" s="23" t="n">
        <x:f>IFERROR(POWER(Q32,$F32/5),"")</x:f>
        <x:v>0.85</x:v>
      </x:c>
      <x:c r="AA32" s="23" t="n">
        <x:f>IFERROR(POWER(R32,$F32/5),"")</x:f>
        <x:v>0.85</x:v>
      </x:c>
      <x:c r="AB32" s="23" t="n">
        <x:f>IFERROR(POWER(S32,$F32/5),"")</x:f>
        <x:v>0.65</x:v>
      </x:c>
      <x:c r="AC32" s="23" t="n">
        <x:f>IFERROR(POWER(T32,$F32/5),"")</x:f>
        <x:v>0.65</x:v>
      </x:c>
      <x:c r="AD32" s="23" t="n">
        <x:f>IFERROR(POWER(U32,$F32/5),"")</x:f>
        <x:v>0.5</x:v>
      </x:c>
      <x:c r="AE32" s="23" t="n">
        <x:f>IFERROR(POWER(V32,$F32/5),"")</x:f>
        <x:v>0.5</x:v>
      </x:c>
      <x:c r="AF32" s="23" t="n">
        <x:f>IFERROR(POWER(W32,$F32/5),"")</x:f>
        <x:v>0.85</x:v>
      </x:c>
      <x:c r="AG32" s="23" t="n">
        <x:f>IFERROR(POWER(X32,$F32/5),"")</x:f>
        <x:v>0.85</x:v>
      </x:c>
      <x:c r="AH32" s="22" t="str">
        <x:v>Strong empirical evidence</x:v>
      </x:c>
      <x:c r="AI32" s="20" t="n">
        <x:f>IFERROR(LN(Y32),"")</x:f>
        <x:v>-2.0794415416798357</x:v>
      </x:c>
      <x:c r="AJ32" s="20" t="n">
        <x:f>IFERROR(LN(Z32),"")</x:f>
        <x:v>-0.16251892949777494</x:v>
      </x:c>
      <x:c r="AK32" s="20" t="n">
        <x:f>IFERROR(LN(AA32),"")</x:f>
        <x:v>-0.16251892949777494</x:v>
      </x:c>
      <x:c r="AL32" s="20" t="n">
        <x:f>IFERROR(LN(AB32),"")</x:f>
        <x:v>-0.4307829160924542</x:v>
      </x:c>
      <x:c r="AM32" s="20" t="n">
        <x:f>IFERROR(LN(AC32),"")</x:f>
        <x:v>-0.4307829160924542</x:v>
      </x:c>
      <x:c r="AN32" s="20" t="n">
        <x:f>IFERROR(LN(AD32),"")</x:f>
        <x:v>-0.6931471805599453</x:v>
      </x:c>
      <x:c r="AO32" s="20" t="n">
        <x:f>IFERROR(LN(AE32),"")</x:f>
        <x:v>-0.6931471805599453</x:v>
      </x:c>
      <x:c r="AP32" s="20" t="n">
        <x:f>IFERROR(LN(AF32),"")</x:f>
        <x:v>-0.16251892949777494</x:v>
      </x:c>
      <x:c r="AQ32" s="20" t="n">
        <x:f>IFERROR(LN(AG32),"")</x:f>
        <x:v>-0.16251892949777494</x:v>
      </x:c>
    </x:row>
    <x:row r="33" ht="15" hidden="0" customHeight="1">
      <x:c r="A33" s="22" t="str">
        <x:v>EV030</x:v>
      </x:c>
      <x:c r="B33" s="32"/>
      <x:c r="C33" s="22" t="str">
        <x:v>Evolution strongly supported by evidence</x:v>
      </x:c>
      <x:c r="D33" s="22" t="str">
        <x:v>Science</x:v>
      </x:c>
      <x:c r="E33" s="22" t="str">
        <x:v>Coyne</x:v>
      </x:c>
      <x:c r="F33" s="33" t="n">
        <x:v>5</x:v>
      </x:c>
      <x:c r="G33" s="22" t="str">
        <x:v>Highly unlikely</x:v>
      </x:c>
      <x:c r="H33" s="22" t="str">
        <x:v>Highly likely</x:v>
      </x:c>
      <x:c r="I33" s="22" t="str">
        <x:v>Highly likely</x:v>
      </x:c>
      <x:c r="J33" s="22" t="str">
        <x:v>Likely / probable</x:v>
      </x:c>
      <x:c r="K33" s="22" t="str">
        <x:v>Likely / probable</x:v>
      </x:c>
      <x:c r="L33" s="22" t="str">
        <x:v>Roughly even chance</x:v>
      </x:c>
      <x:c r="M33" s="22" t="str">
        <x:v>Roughly even chance</x:v>
      </x:c>
      <x:c r="N33" s="22" t="str">
        <x:v>Highly likely</x:v>
      </x:c>
      <x:c r="O33" s="22" t="str">
        <x:v>Highly likely</x:v>
      </x:c>
      <x:c r="P33" s="23" t="n">
        <x:f>IFERROR(VLOOKUP(G33,'MI5 Scale'!$A$2:$D$8,4,FALSE),"")</x:f>
        <x:v>0.125</x:v>
      </x:c>
      <x:c r="Q33" s="23" t="n">
        <x:f>IFERROR(VLOOKUP(H33,'MI5 Scale'!$A$2:$D$8,4,FALSE),"")</x:f>
        <x:v>0.85</x:v>
      </x:c>
      <x:c r="R33" s="23" t="n">
        <x:f>IFERROR(VLOOKUP(I33,'MI5 Scale'!$A$2:$D$8,4,FALSE),"")</x:f>
        <x:v>0.85</x:v>
      </x:c>
      <x:c r="S33" s="23" t="n">
        <x:f>IFERROR(VLOOKUP(J33,'MI5 Scale'!$A$2:$D$8,4,FALSE),"")</x:f>
        <x:v>0.65</x:v>
      </x:c>
      <x:c r="T33" s="23" t="n">
        <x:f>IFERROR(VLOOKUP(K33,'MI5 Scale'!$A$2:$D$8,4,FALSE),"")</x:f>
        <x:v>0.65</x:v>
      </x:c>
      <x:c r="U33" s="23" t="n">
        <x:f>IFERROR(VLOOKUP(L33,'MI5 Scale'!$A$2:$D$8,4,FALSE),"")</x:f>
        <x:v>0.5</x:v>
      </x:c>
      <x:c r="V33" s="23" t="n">
        <x:f>IFERROR(VLOOKUP(M33,'MI5 Scale'!$A$2:$D$8,4,FALSE),"")</x:f>
        <x:v>0.5</x:v>
      </x:c>
      <x:c r="W33" s="23" t="n">
        <x:f>IFERROR(VLOOKUP(N33,'MI5 Scale'!$A$2:$D$8,4,FALSE),"")</x:f>
        <x:v>0.85</x:v>
      </x:c>
      <x:c r="X33" s="23" t="n">
        <x:f>IFERROR(VLOOKUP(O33,'MI5 Scale'!$A$2:$D$8,4,FALSE),"")</x:f>
        <x:v>0.85</x:v>
      </x:c>
      <x:c r="Y33" s="23" t="n">
        <x:f>IFERROR(POWER(P33,$F33/5),"")</x:f>
        <x:v>0.125</x:v>
      </x:c>
      <x:c r="Z33" s="23" t="n">
        <x:f>IFERROR(POWER(Q33,$F33/5),"")</x:f>
        <x:v>0.85</x:v>
      </x:c>
      <x:c r="AA33" s="23" t="n">
        <x:f>IFERROR(POWER(R33,$F33/5),"")</x:f>
        <x:v>0.85</x:v>
      </x:c>
      <x:c r="AB33" s="23" t="n">
        <x:f>IFERROR(POWER(S33,$F33/5),"")</x:f>
        <x:v>0.65</x:v>
      </x:c>
      <x:c r="AC33" s="23" t="n">
        <x:f>IFERROR(POWER(T33,$F33/5),"")</x:f>
        <x:v>0.65</x:v>
      </x:c>
      <x:c r="AD33" s="23" t="n">
        <x:f>IFERROR(POWER(U33,$F33/5),"")</x:f>
        <x:v>0.5</x:v>
      </x:c>
      <x:c r="AE33" s="23" t="n">
        <x:f>IFERROR(POWER(V33,$F33/5),"")</x:f>
        <x:v>0.5</x:v>
      </x:c>
      <x:c r="AF33" s="23" t="n">
        <x:f>IFERROR(POWER(W33,$F33/5),"")</x:f>
        <x:v>0.85</x:v>
      </x:c>
      <x:c r="AG33" s="23" t="n">
        <x:f>IFERROR(POWER(X33,$F33/5),"")</x:f>
        <x:v>0.85</x:v>
      </x:c>
      <x:c r="AH33" s="22" t="str">
        <x:v>Consilience</x:v>
      </x:c>
      <x:c r="AI33" s="20" t="n">
        <x:f>IFERROR(LN(Y33),"")</x:f>
        <x:v>-2.0794415416798357</x:v>
      </x:c>
      <x:c r="AJ33" s="20" t="n">
        <x:f>IFERROR(LN(Z33),"")</x:f>
        <x:v>-0.16251892949777494</x:v>
      </x:c>
      <x:c r="AK33" s="20" t="n">
        <x:f>IFERROR(LN(AA33),"")</x:f>
        <x:v>-0.16251892949777494</x:v>
      </x:c>
      <x:c r="AL33" s="20" t="n">
        <x:f>IFERROR(LN(AB33),"")</x:f>
        <x:v>-0.4307829160924542</x:v>
      </x:c>
      <x:c r="AM33" s="20" t="n">
        <x:f>IFERROR(LN(AC33),"")</x:f>
        <x:v>-0.4307829160924542</x:v>
      </x:c>
      <x:c r="AN33" s="20" t="n">
        <x:f>IFERROR(LN(AD33),"")</x:f>
        <x:v>-0.6931471805599453</x:v>
      </x:c>
      <x:c r="AO33" s="20" t="n">
        <x:f>IFERROR(LN(AE33),"")</x:f>
        <x:v>-0.6931471805599453</x:v>
      </x:c>
      <x:c r="AP33" s="20" t="n">
        <x:f>IFERROR(LN(AF33),"")</x:f>
        <x:v>-0.16251892949777494</x:v>
      </x:c>
      <x:c r="AQ33" s="20" t="n">
        <x:f>IFERROR(LN(AG33),"")</x:f>
        <x:v>-0.16251892949777494</x:v>
      </x:c>
    </x:row>
    <x:row r="34" ht="15" hidden="0" customHeight="1">
      <x:c r="A34" s="22" t="str">
        <x:v>EV031</x:v>
      </x:c>
      <x:c r="B34" s="32"/>
      <x:c r="C34" s="22" t="str">
        <x:v>Naturalism plausible explanatory framework</x:v>
      </x:c>
      <x:c r="D34" s="22" t="str">
        <x:v>Science</x:v>
      </x:c>
      <x:c r="E34" s="22" t="str">
        <x:v>General</x:v>
      </x:c>
      <x:c r="F34" s="33" t="n">
        <x:v>3</x:v>
      </x:c>
      <x:c r="G34" s="22" t="str">
        <x:v>Unlikely</x:v>
      </x:c>
      <x:c r="H34" s="22" t="str">
        <x:v>Roughly even chance</x:v>
      </x:c>
      <x:c r="I34" s="22" t="str">
        <x:v>Roughly even chance</x:v>
      </x:c>
      <x:c r="J34" s="22" t="str">
        <x:v>Unlikely</x:v>
      </x:c>
      <x:c r="K34" s="22" t="str">
        <x:v>Likely / probable</x:v>
      </x:c>
      <x:c r="L34" s="22" t="str">
        <x:v>Roughly even chance</x:v>
      </x:c>
      <x:c r="M34" s="22" t="str">
        <x:v>Roughly even chance</x:v>
      </x:c>
      <x:c r="N34" s="22" t="str">
        <x:v>Likely / probable</x:v>
      </x:c>
      <x:c r="O34" s="22" t="str">
        <x:v>Likely / probable</x:v>
      </x:c>
      <x:c r="P34" s="23" t="n">
        <x:f>IFERROR(VLOOKUP(G34,'MI5 Scale'!$A$2:$D$8,4,FALSE),"")</x:f>
        <x:v>0.325</x:v>
      </x:c>
      <x:c r="Q34" s="23" t="n">
        <x:f>IFERROR(VLOOKUP(H34,'MI5 Scale'!$A$2:$D$8,4,FALSE),"")</x:f>
        <x:v>0.5</x:v>
      </x:c>
      <x:c r="R34" s="23" t="n">
        <x:f>IFERROR(VLOOKUP(I34,'MI5 Scale'!$A$2:$D$8,4,FALSE),"")</x:f>
        <x:v>0.5</x:v>
      </x:c>
      <x:c r="S34" s="23" t="n">
        <x:f>IFERROR(VLOOKUP(J34,'MI5 Scale'!$A$2:$D$8,4,FALSE),"")</x:f>
        <x:v>0.325</x:v>
      </x:c>
      <x:c r="T34" s="23" t="n">
        <x:f>IFERROR(VLOOKUP(K34,'MI5 Scale'!$A$2:$D$8,4,FALSE),"")</x:f>
        <x:v>0.65</x:v>
      </x:c>
      <x:c r="U34" s="23" t="n">
        <x:f>IFERROR(VLOOKUP(L34,'MI5 Scale'!$A$2:$D$8,4,FALSE),"")</x:f>
        <x:v>0.5</x:v>
      </x:c>
      <x:c r="V34" s="23" t="n">
        <x:f>IFERROR(VLOOKUP(M34,'MI5 Scale'!$A$2:$D$8,4,FALSE),"")</x:f>
        <x:v>0.5</x:v>
      </x:c>
      <x:c r="W34" s="23" t="n">
        <x:f>IFERROR(VLOOKUP(N34,'MI5 Scale'!$A$2:$D$8,4,FALSE),"")</x:f>
        <x:v>0.65</x:v>
      </x:c>
      <x:c r="X34" s="23" t="n">
        <x:f>IFERROR(VLOOKUP(O34,'MI5 Scale'!$A$2:$D$8,4,FALSE),"")</x:f>
        <x:v>0.65</x:v>
      </x:c>
      <x:c r="Y34" s="23" t="n">
        <x:f>IFERROR(POWER(P34,$F34/5),"")</x:f>
        <x:v>0.5094833744343357</x:v>
      </x:c>
      <x:c r="Z34" s="23" t="n">
        <x:f>IFERROR(POWER(Q34,$F34/5),"")</x:f>
        <x:v>0.6597539553864471</x:v>
      </x:c>
      <x:c r="AA34" s="23" t="n">
        <x:f>IFERROR(POWER(R34,$F34/5),"")</x:f>
        <x:v>0.6597539553864471</x:v>
      </x:c>
      <x:c r="AB34" s="23" t="n">
        <x:f>IFERROR(POWER(S34,$F34/5),"")</x:f>
        <x:v>0.5094833744343357</x:v>
      </x:c>
      <x:c r="AC34" s="23" t="n">
        <x:f>IFERROR(POWER(T34,$F34/5),"")</x:f>
        <x:v>0.7722323909917427</x:v>
      </x:c>
      <x:c r="AD34" s="23" t="n">
        <x:f>IFERROR(POWER(U34,$F34/5),"")</x:f>
        <x:v>0.6597539553864471</x:v>
      </x:c>
      <x:c r="AE34" s="23" t="n">
        <x:f>IFERROR(POWER(V34,$F34/5),"")</x:f>
        <x:v>0.6597539553864471</x:v>
      </x:c>
      <x:c r="AF34" s="23" t="n">
        <x:f>IFERROR(POWER(W34,$F34/5),"")</x:f>
        <x:v>0.7722323909917427</x:v>
      </x:c>
      <x:c r="AG34" s="23" t="n">
        <x:f>IFERROR(POWER(X34,$F34/5),"")</x:f>
        <x:v>0.7722323909917427</x:v>
      </x:c>
      <x:c r="AH34" s="22" t="str">
        <x:v>Emerging model</x:v>
      </x:c>
      <x:c r="AI34" s="20" t="n">
        <x:f>IFERROR(LN(Y34),"")</x:f>
        <x:v>-0.6743580579914397</x:v>
      </x:c>
      <x:c r="AJ34" s="20" t="n">
        <x:f>IFERROR(LN(Z34),"")</x:f>
        <x:v>-0.41588830833596724</x:v>
      </x:c>
      <x:c r="AK34" s="20" t="n">
        <x:f>IFERROR(LN(AA34),"")</x:f>
        <x:v>-0.41588830833596724</x:v>
      </x:c>
      <x:c r="AL34" s="20" t="n">
        <x:f>IFERROR(LN(AB34),"")</x:f>
        <x:v>-0.6743580579914397</x:v>
      </x:c>
      <x:c r="AM34" s="20" t="n">
        <x:f>IFERROR(LN(AC34),"")</x:f>
        <x:v>-0.2584697496554726</x:v>
      </x:c>
      <x:c r="AN34" s="20" t="n">
        <x:f>IFERROR(LN(AD34),"")</x:f>
        <x:v>-0.41588830833596724</x:v>
      </x:c>
      <x:c r="AO34" s="20" t="n">
        <x:f>IFERROR(LN(AE34),"")</x:f>
        <x:v>-0.41588830833596724</x:v>
      </x:c>
      <x:c r="AP34" s="20" t="n">
        <x:f>IFERROR(LN(AF34),"")</x:f>
        <x:v>-0.2584697496554726</x:v>
      </x:c>
      <x:c r="AQ34" s="20" t="n">
        <x:f>IFERROR(LN(AG34),"")</x:f>
        <x:v>-0.2584697496554726</x:v>
      </x:c>
    </x:row>
    <x:row r="35" ht="15" hidden="0" customHeight="1">
      <x:c r="A35" s="22" t="str">
        <x:v>EV032</x:v>
      </x:c>
      <x:c r="B35" s="32"/>
      <x:c r="C35" s="22" t="str">
        <x:v>America not uniquely Christian nation</x:v>
      </x:c>
      <x:c r="D35" s="22" t="str">
        <x:v>Politics</x:v>
      </x:c>
      <x:c r="E35" s="22" t="str">
        <x:v>History</x:v>
      </x:c>
      <x:c r="F35" s="33" t="n">
        <x:v>3</x:v>
      </x:c>
      <x:c r="G35" s="22" t="str">
        <x:v>Highly unlikely</x:v>
      </x:c>
      <x:c r="H35" s="22" t="str">
        <x:v>Likely / probable</x:v>
      </x:c>
      <x:c r="I35" s="22" t="str">
        <x:v>Likely / probable</x:v>
      </x:c>
      <x:c r="J35" s="22" t="str">
        <x:v>Roughly even chance</x:v>
      </x:c>
      <x:c r="K35" s="22" t="str">
        <x:v>Roughly even chance</x:v>
      </x:c>
      <x:c r="L35" s="22" t="str">
        <x:v>Roughly even chance</x:v>
      </x:c>
      <x:c r="M35" s="22" t="str">
        <x:v>Roughly even chance</x:v>
      </x:c>
      <x:c r="N35" s="22" t="str">
        <x:v>Likely / probable</x:v>
      </x:c>
      <x:c r="O35" s="22" t="str">
        <x:v>Likely / probable</x:v>
      </x:c>
      <x:c r="P35" s="23" t="n">
        <x:f>IFERROR(VLOOKUP(G35,'MI5 Scale'!$A$2:$D$8,4,FALSE),"")</x:f>
        <x:v>0.125</x:v>
      </x:c>
      <x:c r="Q35" s="23" t="n">
        <x:f>IFERROR(VLOOKUP(H35,'MI5 Scale'!$A$2:$D$8,4,FALSE),"")</x:f>
        <x:v>0.65</x:v>
      </x:c>
      <x:c r="R35" s="23" t="n">
        <x:f>IFERROR(VLOOKUP(I35,'MI5 Scale'!$A$2:$D$8,4,FALSE),"")</x:f>
        <x:v>0.65</x:v>
      </x:c>
      <x:c r="S35" s="23" t="n">
        <x:f>IFERROR(VLOOKUP(J35,'MI5 Scale'!$A$2:$D$8,4,FALSE),"")</x:f>
        <x:v>0.5</x:v>
      </x:c>
      <x:c r="T35" s="23" t="n">
        <x:f>IFERROR(VLOOKUP(K35,'MI5 Scale'!$A$2:$D$8,4,FALSE),"")</x:f>
        <x:v>0.5</x:v>
      </x:c>
      <x:c r="U35" s="23" t="n">
        <x:f>IFERROR(VLOOKUP(L35,'MI5 Scale'!$A$2:$D$8,4,FALSE),"")</x:f>
        <x:v>0.5</x:v>
      </x:c>
      <x:c r="V35" s="23" t="n">
        <x:f>IFERROR(VLOOKUP(M35,'MI5 Scale'!$A$2:$D$8,4,FALSE),"")</x:f>
        <x:v>0.5</x:v>
      </x:c>
      <x:c r="W35" s="23" t="n">
        <x:f>IFERROR(VLOOKUP(N35,'MI5 Scale'!$A$2:$D$8,4,FALSE),"")</x:f>
        <x:v>0.65</x:v>
      </x:c>
      <x:c r="X35" s="23" t="n">
        <x:f>IFERROR(VLOOKUP(O35,'MI5 Scale'!$A$2:$D$8,4,FALSE),"")</x:f>
        <x:v>0.65</x:v>
      </x:c>
      <x:c r="Y35" s="23" t="n">
        <x:f>IFERROR(POWER(P35,$F35/5),"")</x:f>
        <x:v>0.2871745887492588</x:v>
      </x:c>
      <x:c r="Z35" s="23" t="n">
        <x:f>IFERROR(POWER(Q35,$F35/5),"")</x:f>
        <x:v>0.7722323909917427</x:v>
      </x:c>
      <x:c r="AA35" s="23" t="n">
        <x:f>IFERROR(POWER(R35,$F35/5),"")</x:f>
        <x:v>0.7722323909917427</x:v>
      </x:c>
      <x:c r="AB35" s="23" t="n">
        <x:f>IFERROR(POWER(S35,$F35/5),"")</x:f>
        <x:v>0.6597539553864471</x:v>
      </x:c>
      <x:c r="AC35" s="23" t="n">
        <x:f>IFERROR(POWER(T35,$F35/5),"")</x:f>
        <x:v>0.6597539553864471</x:v>
      </x:c>
      <x:c r="AD35" s="23" t="n">
        <x:f>IFERROR(POWER(U35,$F35/5),"")</x:f>
        <x:v>0.6597539553864471</x:v>
      </x:c>
      <x:c r="AE35" s="23" t="n">
        <x:f>IFERROR(POWER(V35,$F35/5),"")</x:f>
        <x:v>0.6597539553864471</x:v>
      </x:c>
      <x:c r="AF35" s="23" t="n">
        <x:f>IFERROR(POWER(W35,$F35/5),"")</x:f>
        <x:v>0.7722323909917427</x:v>
      </x:c>
      <x:c r="AG35" s="23" t="n">
        <x:f>IFERROR(POWER(X35,$F35/5),"")</x:f>
        <x:v>0.7722323909917427</x:v>
      </x:c>
      <x:c r="AH35" s="22" t="str">
        <x:v>Historical analysis</x:v>
      </x:c>
      <x:c r="AI35" s="20" t="n">
        <x:f>IFERROR(LN(Y35),"")</x:f>
        <x:v>-1.2476649250079015</x:v>
      </x:c>
      <x:c r="AJ35" s="20" t="n">
        <x:f>IFERROR(LN(Z35),"")</x:f>
        <x:v>-0.2584697496554726</x:v>
      </x:c>
      <x:c r="AK35" s="20" t="n">
        <x:f>IFERROR(LN(AA35),"")</x:f>
        <x:v>-0.2584697496554726</x:v>
      </x:c>
      <x:c r="AL35" s="20" t="n">
        <x:f>IFERROR(LN(AB35),"")</x:f>
        <x:v>-0.41588830833596724</x:v>
      </x:c>
      <x:c r="AM35" s="20" t="n">
        <x:f>IFERROR(LN(AC35),"")</x:f>
        <x:v>-0.41588830833596724</x:v>
      </x:c>
      <x:c r="AN35" s="20" t="n">
        <x:f>IFERROR(LN(AD35),"")</x:f>
        <x:v>-0.41588830833596724</x:v>
      </x:c>
      <x:c r="AO35" s="20" t="n">
        <x:f>IFERROR(LN(AE35),"")</x:f>
        <x:v>-0.41588830833596724</x:v>
      </x:c>
      <x:c r="AP35" s="20" t="n">
        <x:f>IFERROR(LN(AF35),"")</x:f>
        <x:v>-0.2584697496554726</x:v>
      </x:c>
      <x:c r="AQ35" s="20" t="n">
        <x:f>IFERROR(LN(AG35),"")</x:f>
        <x:v>-0.2584697496554726</x:v>
      </x:c>
    </x:row>
    <x:row r="36" ht="15" hidden="0" customHeight="1">
      <x:c r="A36" s="22" t="str">
        <x:v>EV033</x:v>
      </x:c>
      <x:c r="B36" s="32"/>
      <x:c r="C36" s="22" t="str">
        <x:v>End-times predictions historically unreliable</x:v>
      </x:c>
      <x:c r="D36" s="22" t="str">
        <x:v>Eschatology</x:v>
      </x:c>
      <x:c r="E36" s="22" t="str">
        <x:v>History</x:v>
      </x:c>
      <x:c r="F36" s="33" t="n">
        <x:v>4</x:v>
      </x:c>
      <x:c r="G36" s="22" t="str">
        <x:v>Highly unlikely</x:v>
      </x:c>
      <x:c r="H36" s="22" t="str">
        <x:v>Likely / probable</x:v>
      </x:c>
      <x:c r="I36" s="22" t="str">
        <x:v>Likely / probable</x:v>
      </x:c>
      <x:c r="J36" s="22" t="str">
        <x:v>Roughly even chance</x:v>
      </x:c>
      <x:c r="K36" s="22" t="str">
        <x:v>Roughly even chance</x:v>
      </x:c>
      <x:c r="L36" s="22" t="str">
        <x:v>Roughly even chance</x:v>
      </x:c>
      <x:c r="M36" s="22" t="str">
        <x:v>Roughly even chance</x:v>
      </x:c>
      <x:c r="N36" s="22" t="str">
        <x:v>Likely / probable</x:v>
      </x:c>
      <x:c r="O36" s="22" t="str">
        <x:v>Likely / probable</x:v>
      </x:c>
      <x:c r="P36" s="23" t="n">
        <x:f>IFERROR(VLOOKUP(G36,'MI5 Scale'!$A$2:$D$8,4,FALSE),"")</x:f>
        <x:v>0.125</x:v>
      </x:c>
      <x:c r="Q36" s="23" t="n">
        <x:f>IFERROR(VLOOKUP(H36,'MI5 Scale'!$A$2:$D$8,4,FALSE),"")</x:f>
        <x:v>0.65</x:v>
      </x:c>
      <x:c r="R36" s="23" t="n">
        <x:f>IFERROR(VLOOKUP(I36,'MI5 Scale'!$A$2:$D$8,4,FALSE),"")</x:f>
        <x:v>0.65</x:v>
      </x:c>
      <x:c r="S36" s="23" t="n">
        <x:f>IFERROR(VLOOKUP(J36,'MI5 Scale'!$A$2:$D$8,4,FALSE),"")</x:f>
        <x:v>0.5</x:v>
      </x:c>
      <x:c r="T36" s="23" t="n">
        <x:f>IFERROR(VLOOKUP(K36,'MI5 Scale'!$A$2:$D$8,4,FALSE),"")</x:f>
        <x:v>0.5</x:v>
      </x:c>
      <x:c r="U36" s="23" t="n">
        <x:f>IFERROR(VLOOKUP(L36,'MI5 Scale'!$A$2:$D$8,4,FALSE),"")</x:f>
        <x:v>0.5</x:v>
      </x:c>
      <x:c r="V36" s="23" t="n">
        <x:f>IFERROR(VLOOKUP(M36,'MI5 Scale'!$A$2:$D$8,4,FALSE),"")</x:f>
        <x:v>0.5</x:v>
      </x:c>
      <x:c r="W36" s="23" t="n">
        <x:f>IFERROR(VLOOKUP(N36,'MI5 Scale'!$A$2:$D$8,4,FALSE),"")</x:f>
        <x:v>0.65</x:v>
      </x:c>
      <x:c r="X36" s="23" t="n">
        <x:f>IFERROR(VLOOKUP(O36,'MI5 Scale'!$A$2:$D$8,4,FALSE),"")</x:f>
        <x:v>0.65</x:v>
      </x:c>
      <x:c r="Y36" s="23" t="n">
        <x:f>IFERROR(POWER(P36,$F36/5),"")</x:f>
        <x:v>0.18946457081379975</x:v>
      </x:c>
      <x:c r="Z36" s="23" t="n">
        <x:f>IFERROR(POWER(Q36,$F36/5),"")</x:f>
        <x:v>0.7084850415814244</x:v>
      </x:c>
      <x:c r="AA36" s="23" t="n">
        <x:f>IFERROR(POWER(R36,$F36/5),"")</x:f>
        <x:v>0.7084850415814244</x:v>
      </x:c>
      <x:c r="AB36" s="23" t="n">
        <x:f>IFERROR(POWER(S36,$F36/5),"")</x:f>
        <x:v>0.5743491774985174</x:v>
      </x:c>
      <x:c r="AC36" s="23" t="n">
        <x:f>IFERROR(POWER(T36,$F36/5),"")</x:f>
        <x:v>0.5743491774985174</x:v>
      </x:c>
      <x:c r="AD36" s="23" t="n">
        <x:f>IFERROR(POWER(U36,$F36/5),"")</x:f>
        <x:v>0.5743491774985174</x:v>
      </x:c>
      <x:c r="AE36" s="23" t="n">
        <x:f>IFERROR(POWER(V36,$F36/5),"")</x:f>
        <x:v>0.5743491774985174</x:v>
      </x:c>
      <x:c r="AF36" s="23" t="n">
        <x:f>IFERROR(POWER(W36,$F36/5),"")</x:f>
        <x:v>0.7084850415814244</x:v>
      </x:c>
      <x:c r="AG36" s="23" t="n">
        <x:f>IFERROR(POWER(X36,$F36/5),"")</x:f>
        <x:v>0.7084850415814244</x:v>
      </x:c>
      <x:c r="AH36" s="22" t="str">
        <x:v>Failed predictions</x:v>
      </x:c>
      <x:c r="AI36" s="20" t="n">
        <x:f>IFERROR(LN(Y36),"")</x:f>
        <x:v>-1.6635532333438687</x:v>
      </x:c>
      <x:c r="AJ36" s="20" t="n">
        <x:f>IFERROR(LN(Z36),"")</x:f>
        <x:v>-0.34462633287396344</x:v>
      </x:c>
      <x:c r="AK36" s="20" t="n">
        <x:f>IFERROR(LN(AA36),"")</x:f>
        <x:v>-0.34462633287396344</x:v>
      </x:c>
      <x:c r="AL36" s="20" t="n">
        <x:f>IFERROR(LN(AB36),"")</x:f>
        <x:v>-0.5545177444479563</x:v>
      </x:c>
      <x:c r="AM36" s="20" t="n">
        <x:f>IFERROR(LN(AC36),"")</x:f>
        <x:v>-0.5545177444479563</x:v>
      </x:c>
      <x:c r="AN36" s="20" t="n">
        <x:f>IFERROR(LN(AD36),"")</x:f>
        <x:v>-0.5545177444479563</x:v>
      </x:c>
      <x:c r="AO36" s="20" t="n">
        <x:f>IFERROR(LN(AE36),"")</x:f>
        <x:v>-0.5545177444479563</x:v>
      </x:c>
      <x:c r="AP36" s="20" t="n">
        <x:f>IFERROR(LN(AF36),"")</x:f>
        <x:v>-0.34462633287396344</x:v>
      </x:c>
      <x:c r="AQ36" s="20" t="n">
        <x:f>IFERROR(LN(AG36),"")</x:f>
        <x:v>-0.34462633287396344</x:v>
      </x:c>
    </x:row>
    <x:row r="37" ht="15" hidden="0" customHeight="1">
      <x:c r="A37" s="22" t="str">
        <x:v>EV034</x:v>
      </x:c>
      <x:c r="B37" s="32"/>
      <x:c r="C37" s="22" t="str">
        <x:v>Moral decline not evidence of apocalypse</x:v>
      </x:c>
      <x:c r="D37" s="22" t="str">
        <x:v>Eschatology</x:v>
      </x:c>
      <x:c r="E37" s="22" t="str">
        <x:v>Philosophy</x:v>
      </x:c>
      <x:c r="F37" s="33" t="n">
        <x:v>3</x:v>
      </x:c>
      <x:c r="G37" s="22" t="str">
        <x:v>Highly unlikely</x:v>
      </x:c>
      <x:c r="H37" s="22" t="str">
        <x:v>Likely / probable</x:v>
      </x:c>
      <x:c r="I37" s="22" t="str">
        <x:v>Likely / probable</x:v>
      </x:c>
      <x:c r="J37" s="22" t="str">
        <x:v>Roughly even chance</x:v>
      </x:c>
      <x:c r="K37" s="22" t="str">
        <x:v>Roughly even chance</x:v>
      </x:c>
      <x:c r="L37" s="22" t="str">
        <x:v>Roughly even chance</x:v>
      </x:c>
      <x:c r="M37" s="22" t="str">
        <x:v>Roughly even chance</x:v>
      </x:c>
      <x:c r="N37" s="22" t="str">
        <x:v>Likely / probable</x:v>
      </x:c>
      <x:c r="O37" s="22" t="str">
        <x:v>Likely / probable</x:v>
      </x:c>
      <x:c r="P37" s="23" t="n">
        <x:f>IFERROR(VLOOKUP(G37,'MI5 Scale'!$A$2:$D$8,4,FALSE),"")</x:f>
        <x:v>0.125</x:v>
      </x:c>
      <x:c r="Q37" s="23" t="n">
        <x:f>IFERROR(VLOOKUP(H37,'MI5 Scale'!$A$2:$D$8,4,FALSE),"")</x:f>
        <x:v>0.65</x:v>
      </x:c>
      <x:c r="R37" s="23" t="n">
        <x:f>IFERROR(VLOOKUP(I37,'MI5 Scale'!$A$2:$D$8,4,FALSE),"")</x:f>
        <x:v>0.65</x:v>
      </x:c>
      <x:c r="S37" s="23" t="n">
        <x:f>IFERROR(VLOOKUP(J37,'MI5 Scale'!$A$2:$D$8,4,FALSE),"")</x:f>
        <x:v>0.5</x:v>
      </x:c>
      <x:c r="T37" s="23" t="n">
        <x:f>IFERROR(VLOOKUP(K37,'MI5 Scale'!$A$2:$D$8,4,FALSE),"")</x:f>
        <x:v>0.5</x:v>
      </x:c>
      <x:c r="U37" s="23" t="n">
        <x:f>IFERROR(VLOOKUP(L37,'MI5 Scale'!$A$2:$D$8,4,FALSE),"")</x:f>
        <x:v>0.5</x:v>
      </x:c>
      <x:c r="V37" s="23" t="n">
        <x:f>IFERROR(VLOOKUP(M37,'MI5 Scale'!$A$2:$D$8,4,FALSE),"")</x:f>
        <x:v>0.5</x:v>
      </x:c>
      <x:c r="W37" s="23" t="n">
        <x:f>IFERROR(VLOOKUP(N37,'MI5 Scale'!$A$2:$D$8,4,FALSE),"")</x:f>
        <x:v>0.65</x:v>
      </x:c>
      <x:c r="X37" s="23" t="n">
        <x:f>IFERROR(VLOOKUP(O37,'MI5 Scale'!$A$2:$D$8,4,FALSE),"")</x:f>
        <x:v>0.65</x:v>
      </x:c>
      <x:c r="Y37" s="23" t="n">
        <x:f>IFERROR(POWER(P37,$F37/5),"")</x:f>
        <x:v>0.2871745887492588</x:v>
      </x:c>
      <x:c r="Z37" s="23" t="n">
        <x:f>IFERROR(POWER(Q37,$F37/5),"")</x:f>
        <x:v>0.7722323909917427</x:v>
      </x:c>
      <x:c r="AA37" s="23" t="n">
        <x:f>IFERROR(POWER(R37,$F37/5),"")</x:f>
        <x:v>0.7722323909917427</x:v>
      </x:c>
      <x:c r="AB37" s="23" t="n">
        <x:f>IFERROR(POWER(S37,$F37/5),"")</x:f>
        <x:v>0.6597539553864471</x:v>
      </x:c>
      <x:c r="AC37" s="23" t="n">
        <x:f>IFERROR(POWER(T37,$F37/5),"")</x:f>
        <x:v>0.6597539553864471</x:v>
      </x:c>
      <x:c r="AD37" s="23" t="n">
        <x:f>IFERROR(POWER(U37,$F37/5),"")</x:f>
        <x:v>0.6597539553864471</x:v>
      </x:c>
      <x:c r="AE37" s="23" t="n">
        <x:f>IFERROR(POWER(V37,$F37/5),"")</x:f>
        <x:v>0.6597539553864471</x:v>
      </x:c>
      <x:c r="AF37" s="23" t="n">
        <x:f>IFERROR(POWER(W37,$F37/5),"")</x:f>
        <x:v>0.7722323909917427</x:v>
      </x:c>
      <x:c r="AG37" s="23" t="n">
        <x:f>IFERROR(POWER(X37,$F37/5),"")</x:f>
        <x:v>0.7722323909917427</x:v>
      </x:c>
      <x:c r="AH37" s="22" t="str">
        <x:v>Sociological</x:v>
      </x:c>
      <x:c r="AI37" s="20" t="n">
        <x:f>IFERROR(LN(Y37),"")</x:f>
        <x:v>-1.2476649250079015</x:v>
      </x:c>
      <x:c r="AJ37" s="20" t="n">
        <x:f>IFERROR(LN(Z37),"")</x:f>
        <x:v>-0.2584697496554726</x:v>
      </x:c>
      <x:c r="AK37" s="20" t="n">
        <x:f>IFERROR(LN(AA37),"")</x:f>
        <x:v>-0.2584697496554726</x:v>
      </x:c>
      <x:c r="AL37" s="20" t="n">
        <x:f>IFERROR(LN(AB37),"")</x:f>
        <x:v>-0.41588830833596724</x:v>
      </x:c>
      <x:c r="AM37" s="20" t="n">
        <x:f>IFERROR(LN(AC37),"")</x:f>
        <x:v>-0.41588830833596724</x:v>
      </x:c>
      <x:c r="AN37" s="20" t="n">
        <x:f>IFERROR(LN(AD37),"")</x:f>
        <x:v>-0.41588830833596724</x:v>
      </x:c>
      <x:c r="AO37" s="20" t="n">
        <x:f>IFERROR(LN(AE37),"")</x:f>
        <x:v>-0.41588830833596724</x:v>
      </x:c>
      <x:c r="AP37" s="20" t="n">
        <x:f>IFERROR(LN(AF37),"")</x:f>
        <x:v>-0.2584697496554726</x:v>
      </x:c>
      <x:c r="AQ37" s="20" t="n">
        <x:f>IFERROR(LN(AG37),"")</x:f>
        <x:v>-0.2584697496554726</x:v>
      </x:c>
    </x:row>
    <x:row r="38" ht="15" hidden="0" customHeight="1">
      <x:c r="A38" s="22" t="str">
        <x:v>EV035</x:v>
      </x:c>
      <x:c r="B38" s="32"/>
      <x:c r="C38" s="22" t="str">
        <x:v>Abortion morally complex, not binary</x:v>
      </x:c>
      <x:c r="D38" s="22" t="str">
        <x:v>Ethics</x:v>
      </x:c>
      <x:c r="E38" s="22" t="str">
        <x:v>Personal Experience</x:v>
      </x:c>
      <x:c r="F38" s="33" t="n">
        <x:v>4</x:v>
      </x:c>
      <x:c r="G38" s="22" t="str">
        <x:v>Highly unlikely</x:v>
      </x:c>
      <x:c r="H38" s="22" t="str">
        <x:v>Likely / probable</x:v>
      </x:c>
      <x:c r="I38" s="22" t="str">
        <x:v>Likely / probable</x:v>
      </x:c>
      <x:c r="J38" s="22" t="str">
        <x:v>Roughly even chance</x:v>
      </x:c>
      <x:c r="K38" s="22" t="str">
        <x:v>Roughly even chance</x:v>
      </x:c>
      <x:c r="L38" s="22" t="str">
        <x:v>Likely / probable</x:v>
      </x:c>
      <x:c r="M38" s="22" t="str">
        <x:v>Likely / probable</x:v>
      </x:c>
      <x:c r="N38" s="22" t="str">
        <x:v>Highly likely</x:v>
      </x:c>
      <x:c r="O38" s="22" t="str">
        <x:v>Likely / probable</x:v>
      </x:c>
      <x:c r="P38" s="23" t="n">
        <x:f>IFERROR(VLOOKUP(G38,'MI5 Scale'!$A$2:$D$8,4,FALSE),"")</x:f>
        <x:v>0.125</x:v>
      </x:c>
      <x:c r="Q38" s="23" t="n">
        <x:f>IFERROR(VLOOKUP(H38,'MI5 Scale'!$A$2:$D$8,4,FALSE),"")</x:f>
        <x:v>0.65</x:v>
      </x:c>
      <x:c r="R38" s="23" t="n">
        <x:f>IFERROR(VLOOKUP(I38,'MI5 Scale'!$A$2:$D$8,4,FALSE),"")</x:f>
        <x:v>0.65</x:v>
      </x:c>
      <x:c r="S38" s="23" t="n">
        <x:f>IFERROR(VLOOKUP(J38,'MI5 Scale'!$A$2:$D$8,4,FALSE),"")</x:f>
        <x:v>0.5</x:v>
      </x:c>
      <x:c r="T38" s="23" t="n">
        <x:f>IFERROR(VLOOKUP(K38,'MI5 Scale'!$A$2:$D$8,4,FALSE),"")</x:f>
        <x:v>0.5</x:v>
      </x:c>
      <x:c r="U38" s="23" t="n">
        <x:f>IFERROR(VLOOKUP(L38,'MI5 Scale'!$A$2:$D$8,4,FALSE),"")</x:f>
        <x:v>0.65</x:v>
      </x:c>
      <x:c r="V38" s="23" t="n">
        <x:f>IFERROR(VLOOKUP(M38,'MI5 Scale'!$A$2:$D$8,4,FALSE),"")</x:f>
        <x:v>0.65</x:v>
      </x:c>
      <x:c r="W38" s="23" t="n">
        <x:f>IFERROR(VLOOKUP(N38,'MI5 Scale'!$A$2:$D$8,4,FALSE),"")</x:f>
        <x:v>0.85</x:v>
      </x:c>
      <x:c r="X38" s="23" t="n">
        <x:f>IFERROR(VLOOKUP(O38,'MI5 Scale'!$A$2:$D$8,4,FALSE),"")</x:f>
        <x:v>0.65</x:v>
      </x:c>
      <x:c r="Y38" s="23" t="n">
        <x:f>IFERROR(POWER(P38,$F38/5),"")</x:f>
        <x:v>0.18946457081379975</x:v>
      </x:c>
      <x:c r="Z38" s="23" t="n">
        <x:f>IFERROR(POWER(Q38,$F38/5),"")</x:f>
        <x:v>0.7084850415814244</x:v>
      </x:c>
      <x:c r="AA38" s="23" t="n">
        <x:f>IFERROR(POWER(R38,$F38/5),"")</x:f>
        <x:v>0.7084850415814244</x:v>
      </x:c>
      <x:c r="AB38" s="23" t="n">
        <x:f>IFERROR(POWER(S38,$F38/5),"")</x:f>
        <x:v>0.5743491774985174</x:v>
      </x:c>
      <x:c r="AC38" s="23" t="n">
        <x:f>IFERROR(POWER(T38,$F38/5),"")</x:f>
        <x:v>0.5743491774985174</x:v>
      </x:c>
      <x:c r="AD38" s="23" t="n">
        <x:f>IFERROR(POWER(U38,$F38/5),"")</x:f>
        <x:v>0.7084850415814244</x:v>
      </x:c>
      <x:c r="AE38" s="23" t="n">
        <x:f>IFERROR(POWER(V38,$F38/5),"")</x:f>
        <x:v>0.7084850415814244</x:v>
      </x:c>
      <x:c r="AF38" s="23" t="n">
        <x:f>IFERROR(POWER(W38,$F38/5),"")</x:f>
        <x:v>0.8780821334968424</x:v>
      </x:c>
      <x:c r="AG38" s="23" t="n">
        <x:f>IFERROR(POWER(X38,$F38/5),"")</x:f>
        <x:v>0.7084850415814244</x:v>
      </x:c>
      <x:c r="AH38" s="22" t="str">
        <x:v>Experience shift</x:v>
      </x:c>
      <x:c r="AI38" s="20" t="n">
        <x:f>IFERROR(LN(Y38),"")</x:f>
        <x:v>-1.6635532333438687</x:v>
      </x:c>
      <x:c r="AJ38" s="20" t="n">
        <x:f>IFERROR(LN(Z38),"")</x:f>
        <x:v>-0.34462633287396344</x:v>
      </x:c>
      <x:c r="AK38" s="20" t="n">
        <x:f>IFERROR(LN(AA38),"")</x:f>
        <x:v>-0.34462633287396344</x:v>
      </x:c>
      <x:c r="AL38" s="20" t="n">
        <x:f>IFERROR(LN(AB38),"")</x:f>
        <x:v>-0.5545177444479563</x:v>
      </x:c>
      <x:c r="AM38" s="20" t="n">
        <x:f>IFERROR(LN(AC38),"")</x:f>
        <x:v>-0.5545177444479563</x:v>
      </x:c>
      <x:c r="AN38" s="20" t="n">
        <x:f>IFERROR(LN(AD38),"")</x:f>
        <x:v>-0.34462633287396344</x:v>
      </x:c>
      <x:c r="AO38" s="20" t="n">
        <x:f>IFERROR(LN(AE38),"")</x:f>
        <x:v>-0.34462633287396344</x:v>
      </x:c>
      <x:c r="AP38" s="20" t="n">
        <x:f>IFERROR(LN(AF38),"")</x:f>
        <x:v>-0.13001514359821992</x:v>
      </x:c>
      <x:c r="AQ38" s="20" t="n">
        <x:f>IFERROR(LN(AG38),"")</x:f>
        <x:v>-0.34462633287396344</x:v>
      </x:c>
    </x:row>
    <x:row r="39" ht="15" hidden="0" customHeight="1">
      <x:c r="A39" s="22" t="str">
        <x:v>EV036</x:v>
      </x:c>
      <x:c r="B39" s="32"/>
      <x:c r="C39" s="22" t="str">
        <x:v>Secular institutions not demonic</x:v>
      </x:c>
      <x:c r="D39" s="22" t="str">
        <x:v>Culture</x:v>
      </x:c>
      <x:c r="E39" s="22" t="str">
        <x:v>Sociology</x:v>
      </x:c>
      <x:c r="F39" s="33" t="n">
        <x:v>3</x:v>
      </x:c>
      <x:c r="G39" s="22" t="str">
        <x:v>Highly unlikely</x:v>
      </x:c>
      <x:c r="H39" s="22" t="str">
        <x:v>Highly likely</x:v>
      </x:c>
      <x:c r="I39" s="22" t="str">
        <x:v>Highly likely</x:v>
      </x:c>
      <x:c r="J39" s="22" t="str">
        <x:v>Roughly even chance</x:v>
      </x:c>
      <x:c r="K39" s="22" t="str">
        <x:v>Roughly even chance</x:v>
      </x:c>
      <x:c r="L39" s="22" t="str">
        <x:v>Roughly even chance</x:v>
      </x:c>
      <x:c r="M39" s="22" t="str">
        <x:v>Roughly even chance</x:v>
      </x:c>
      <x:c r="N39" s="22" t="str">
        <x:v>Highly likely</x:v>
      </x:c>
      <x:c r="O39" s="22" t="str">
        <x:v>Likely / probable</x:v>
      </x:c>
      <x:c r="P39" s="23" t="n">
        <x:f>IFERROR(VLOOKUP(G39,'MI5 Scale'!$A$2:$D$8,4,FALSE),"")</x:f>
        <x:v>0.125</x:v>
      </x:c>
      <x:c r="Q39" s="23" t="n">
        <x:f>IFERROR(VLOOKUP(H39,'MI5 Scale'!$A$2:$D$8,4,FALSE),"")</x:f>
        <x:v>0.85</x:v>
      </x:c>
      <x:c r="R39" s="23" t="n">
        <x:f>IFERROR(VLOOKUP(I39,'MI5 Scale'!$A$2:$D$8,4,FALSE),"")</x:f>
        <x:v>0.85</x:v>
      </x:c>
      <x:c r="S39" s="23" t="n">
        <x:f>IFERROR(VLOOKUP(J39,'MI5 Scale'!$A$2:$D$8,4,FALSE),"")</x:f>
        <x:v>0.5</x:v>
      </x:c>
      <x:c r="T39" s="23" t="n">
        <x:f>IFERROR(VLOOKUP(K39,'MI5 Scale'!$A$2:$D$8,4,FALSE),"")</x:f>
        <x:v>0.5</x:v>
      </x:c>
      <x:c r="U39" s="23" t="n">
        <x:f>IFERROR(VLOOKUP(L39,'MI5 Scale'!$A$2:$D$8,4,FALSE),"")</x:f>
        <x:v>0.5</x:v>
      </x:c>
      <x:c r="V39" s="23" t="n">
        <x:f>IFERROR(VLOOKUP(M39,'MI5 Scale'!$A$2:$D$8,4,FALSE),"")</x:f>
        <x:v>0.5</x:v>
      </x:c>
      <x:c r="W39" s="23" t="n">
        <x:f>IFERROR(VLOOKUP(N39,'MI5 Scale'!$A$2:$D$8,4,FALSE),"")</x:f>
        <x:v>0.85</x:v>
      </x:c>
      <x:c r="X39" s="23" t="n">
        <x:f>IFERROR(VLOOKUP(O39,'MI5 Scale'!$A$2:$D$8,4,FALSE),"")</x:f>
        <x:v>0.65</x:v>
      </x:c>
      <x:c r="Y39" s="23" t="n">
        <x:f>IFERROR(POWER(P39,$F39/5),"")</x:f>
        <x:v>0.2871745887492588</x:v>
      </x:c>
      <x:c r="Z39" s="23" t="n">
        <x:f>IFERROR(POWER(Q39,$F39/5),"")</x:f>
        <x:v>0.9070920390192547</x:v>
      </x:c>
      <x:c r="AA39" s="23" t="n">
        <x:f>IFERROR(POWER(R39,$F39/5),"")</x:f>
        <x:v>0.9070920390192547</x:v>
      </x:c>
      <x:c r="AB39" s="23" t="n">
        <x:f>IFERROR(POWER(S39,$F39/5),"")</x:f>
        <x:v>0.6597539553864471</x:v>
      </x:c>
      <x:c r="AC39" s="23" t="n">
        <x:f>IFERROR(POWER(T39,$F39/5),"")</x:f>
        <x:v>0.6597539553864471</x:v>
      </x:c>
      <x:c r="AD39" s="23" t="n">
        <x:f>IFERROR(POWER(U39,$F39/5),"")</x:f>
        <x:v>0.6597539553864471</x:v>
      </x:c>
      <x:c r="AE39" s="23" t="n">
        <x:f>IFERROR(POWER(V39,$F39/5),"")</x:f>
        <x:v>0.6597539553864471</x:v>
      </x:c>
      <x:c r="AF39" s="23" t="n">
        <x:f>IFERROR(POWER(W39,$F39/5),"")</x:f>
        <x:v>0.9070920390192547</x:v>
      </x:c>
      <x:c r="AG39" s="23" t="n">
        <x:f>IFERROR(POWER(X39,$F39/5),"")</x:f>
        <x:v>0.7722323909917427</x:v>
      </x:c>
      <x:c r="AH39" s="22" t="str">
        <x:v>Rejected claim</x:v>
      </x:c>
      <x:c r="AI39" s="20" t="n">
        <x:f>IFERROR(LN(Y39),"")</x:f>
        <x:v>-1.2476649250079015</x:v>
      </x:c>
      <x:c r="AJ39" s="20" t="n">
        <x:f>IFERROR(LN(Z39),"")</x:f>
        <x:v>-0.09751135769866495</x:v>
      </x:c>
      <x:c r="AK39" s="20" t="n">
        <x:f>IFERROR(LN(AA39),"")</x:f>
        <x:v>-0.09751135769866495</x:v>
      </x:c>
      <x:c r="AL39" s="20" t="n">
        <x:f>IFERROR(LN(AB39),"")</x:f>
        <x:v>-0.41588830833596724</x:v>
      </x:c>
      <x:c r="AM39" s="20" t="n">
        <x:f>IFERROR(LN(AC39),"")</x:f>
        <x:v>-0.41588830833596724</x:v>
      </x:c>
      <x:c r="AN39" s="20" t="n">
        <x:f>IFERROR(LN(AD39),"")</x:f>
        <x:v>-0.41588830833596724</x:v>
      </x:c>
      <x:c r="AO39" s="20" t="n">
        <x:f>IFERROR(LN(AE39),"")</x:f>
        <x:v>-0.41588830833596724</x:v>
      </x:c>
      <x:c r="AP39" s="20" t="n">
        <x:f>IFERROR(LN(AF39),"")</x:f>
        <x:v>-0.09751135769866495</x:v>
      </x:c>
      <x:c r="AQ39" s="20" t="n">
        <x:f>IFERROR(LN(AG39),"")</x:f>
        <x:v>-0.2584697496554726</x:v>
      </x:c>
    </x:row>
    <x:row r="40" ht="15" hidden="0" customHeight="1">
      <x:c r="A40" s="22" t="str">
        <x:v>EV037</x:v>
      </x:c>
      <x:c r="B40" s="32"/>
      <x:c r="C40" s="22" t="str">
        <x:v>Human nature not totally depraved</x:v>
      </x:c>
      <x:c r="D40" s="22" t="str">
        <x:v>Identity</x:v>
      </x:c>
      <x:c r="E40" s="22" t="str">
        <x:v>Psychology</x:v>
      </x:c>
      <x:c r="F40" s="33" t="n">
        <x:v>4</x:v>
      </x:c>
      <x:c r="G40" s="22" t="str">
        <x:v>Highly unlikely</x:v>
      </x:c>
      <x:c r="H40" s="22" t="str">
        <x:v>Likely / probable</x:v>
      </x:c>
      <x:c r="I40" s="22" t="str">
        <x:v>Likely / probable</x:v>
      </x:c>
      <x:c r="J40" s="22" t="str">
        <x:v>Roughly even chance</x:v>
      </x:c>
      <x:c r="K40" s="22" t="str">
        <x:v>Roughly even chance</x:v>
      </x:c>
      <x:c r="L40" s="22" t="str">
        <x:v>Likely / probable</x:v>
      </x:c>
      <x:c r="M40" s="22" t="str">
        <x:v>Likely / probable</x:v>
      </x:c>
      <x:c r="N40" s="22" t="str">
        <x:v>Highly likely</x:v>
      </x:c>
      <x:c r="O40" s="22" t="str">
        <x:v>Likely / probable</x:v>
      </x:c>
      <x:c r="P40" s="23" t="n">
        <x:f>IFERROR(VLOOKUP(G40,'MI5 Scale'!$A$2:$D$8,4,FALSE),"")</x:f>
        <x:v>0.125</x:v>
      </x:c>
      <x:c r="Q40" s="23" t="n">
        <x:f>IFERROR(VLOOKUP(H40,'MI5 Scale'!$A$2:$D$8,4,FALSE),"")</x:f>
        <x:v>0.65</x:v>
      </x:c>
      <x:c r="R40" s="23" t="n">
        <x:f>IFERROR(VLOOKUP(I40,'MI5 Scale'!$A$2:$D$8,4,FALSE),"")</x:f>
        <x:v>0.65</x:v>
      </x:c>
      <x:c r="S40" s="23" t="n">
        <x:f>IFERROR(VLOOKUP(J40,'MI5 Scale'!$A$2:$D$8,4,FALSE),"")</x:f>
        <x:v>0.5</x:v>
      </x:c>
      <x:c r="T40" s="23" t="n">
        <x:f>IFERROR(VLOOKUP(K40,'MI5 Scale'!$A$2:$D$8,4,FALSE),"")</x:f>
        <x:v>0.5</x:v>
      </x:c>
      <x:c r="U40" s="23" t="n">
        <x:f>IFERROR(VLOOKUP(L40,'MI5 Scale'!$A$2:$D$8,4,FALSE),"")</x:f>
        <x:v>0.65</x:v>
      </x:c>
      <x:c r="V40" s="23" t="n">
        <x:f>IFERROR(VLOOKUP(M40,'MI5 Scale'!$A$2:$D$8,4,FALSE),"")</x:f>
        <x:v>0.65</x:v>
      </x:c>
      <x:c r="W40" s="23" t="n">
        <x:f>IFERROR(VLOOKUP(N40,'MI5 Scale'!$A$2:$D$8,4,FALSE),"")</x:f>
        <x:v>0.85</x:v>
      </x:c>
      <x:c r="X40" s="23" t="n">
        <x:f>IFERROR(VLOOKUP(O40,'MI5 Scale'!$A$2:$D$8,4,FALSE),"")</x:f>
        <x:v>0.65</x:v>
      </x:c>
      <x:c r="Y40" s="23" t="n">
        <x:f>IFERROR(POWER(P40,$F40/5),"")</x:f>
        <x:v>0.18946457081379975</x:v>
      </x:c>
      <x:c r="Z40" s="23" t="n">
        <x:f>IFERROR(POWER(Q40,$F40/5),"")</x:f>
        <x:v>0.7084850415814244</x:v>
      </x:c>
      <x:c r="AA40" s="23" t="n">
        <x:f>IFERROR(POWER(R40,$F40/5),"")</x:f>
        <x:v>0.7084850415814244</x:v>
      </x:c>
      <x:c r="AB40" s="23" t="n">
        <x:f>IFERROR(POWER(S40,$F40/5),"")</x:f>
        <x:v>0.5743491774985174</x:v>
      </x:c>
      <x:c r="AC40" s="23" t="n">
        <x:f>IFERROR(POWER(T40,$F40/5),"")</x:f>
        <x:v>0.5743491774985174</x:v>
      </x:c>
      <x:c r="AD40" s="23" t="n">
        <x:f>IFERROR(POWER(U40,$F40/5),"")</x:f>
        <x:v>0.7084850415814244</x:v>
      </x:c>
      <x:c r="AE40" s="23" t="n">
        <x:f>IFERROR(POWER(V40,$F40/5),"")</x:f>
        <x:v>0.7084850415814244</x:v>
      </x:c>
      <x:c r="AF40" s="23" t="n">
        <x:f>IFERROR(POWER(W40,$F40/5),"")</x:f>
        <x:v>0.8780821334968424</x:v>
      </x:c>
      <x:c r="AG40" s="23" t="n">
        <x:f>IFERROR(POWER(X40,$F40/5),"")</x:f>
        <x:v>0.7084850415814244</x:v>
      </x:c>
      <x:c r="AH40" s="22" t="str">
        <x:v>Observed behavior</x:v>
      </x:c>
      <x:c r="AI40" s="20" t="n">
        <x:f>IFERROR(LN(Y40),"")</x:f>
        <x:v>-1.6635532333438687</x:v>
      </x:c>
      <x:c r="AJ40" s="20" t="n">
        <x:f>IFERROR(LN(Z40),"")</x:f>
        <x:v>-0.34462633287396344</x:v>
      </x:c>
      <x:c r="AK40" s="20" t="n">
        <x:f>IFERROR(LN(AA40),"")</x:f>
        <x:v>-0.34462633287396344</x:v>
      </x:c>
      <x:c r="AL40" s="20" t="n">
        <x:f>IFERROR(LN(AB40),"")</x:f>
        <x:v>-0.5545177444479563</x:v>
      </x:c>
      <x:c r="AM40" s="20" t="n">
        <x:f>IFERROR(LN(AC40),"")</x:f>
        <x:v>-0.5545177444479563</x:v>
      </x:c>
      <x:c r="AN40" s="20" t="n">
        <x:f>IFERROR(LN(AD40),"")</x:f>
        <x:v>-0.34462633287396344</x:v>
      </x:c>
      <x:c r="AO40" s="20" t="n">
        <x:f>IFERROR(LN(AE40),"")</x:f>
        <x:v>-0.34462633287396344</x:v>
      </x:c>
      <x:c r="AP40" s="20" t="n">
        <x:f>IFERROR(LN(AF40),"")</x:f>
        <x:v>-0.13001514359821992</x:v>
      </x:c>
      <x:c r="AQ40" s="20" t="n">
        <x:f>IFERROR(LN(AG40),"")</x:f>
        <x:v>-0.34462633287396344</x:v>
      </x:c>
    </x:row>
    <x:row r="41" ht="15" hidden="0" customHeight="1">
      <x:c r="A41" s="22" t="str">
        <x:v>EV038</x:v>
      </x:c>
      <x:c r="B41" s="32"/>
      <x:c r="C41" s="22" t="str">
        <x:v>Self-trust partially reliable</x:v>
      </x:c>
      <x:c r="D41" s="22" t="str">
        <x:v>Identity</x:v>
      </x:c>
      <x:c r="E41" s="22" t="str">
        <x:v>Psychology</x:v>
      </x:c>
      <x:c r="F41" s="33" t="n">
        <x:v>3</x:v>
      </x:c>
      <x:c r="G41" s="22" t="str">
        <x:v>Highly unlikely</x:v>
      </x:c>
      <x:c r="H41" s="22" t="str">
        <x:v>Likely / probable</x:v>
      </x:c>
      <x:c r="I41" s="22" t="str">
        <x:v>Likely / probable</x:v>
      </x:c>
      <x:c r="J41" s="22" t="str">
        <x:v>Roughly even chance</x:v>
      </x:c>
      <x:c r="K41" s="22" t="str">
        <x:v>Roughly even chance</x:v>
      </x:c>
      <x:c r="L41" s="22" t="str">
        <x:v>Likely / probable</x:v>
      </x:c>
      <x:c r="M41" s="22" t="str">
        <x:v>Likely / probable</x:v>
      </x:c>
      <x:c r="N41" s="22" t="str">
        <x:v>Highly likely</x:v>
      </x:c>
      <x:c r="O41" s="22" t="str">
        <x:v>Likely / probable</x:v>
      </x:c>
      <x:c r="P41" s="23" t="n">
        <x:f>IFERROR(VLOOKUP(G41,'MI5 Scale'!$A$2:$D$8,4,FALSE),"")</x:f>
        <x:v>0.125</x:v>
      </x:c>
      <x:c r="Q41" s="23" t="n">
        <x:f>IFERROR(VLOOKUP(H41,'MI5 Scale'!$A$2:$D$8,4,FALSE),"")</x:f>
        <x:v>0.65</x:v>
      </x:c>
      <x:c r="R41" s="23" t="n">
        <x:f>IFERROR(VLOOKUP(I41,'MI5 Scale'!$A$2:$D$8,4,FALSE),"")</x:f>
        <x:v>0.65</x:v>
      </x:c>
      <x:c r="S41" s="23" t="n">
        <x:f>IFERROR(VLOOKUP(J41,'MI5 Scale'!$A$2:$D$8,4,FALSE),"")</x:f>
        <x:v>0.5</x:v>
      </x:c>
      <x:c r="T41" s="23" t="n">
        <x:f>IFERROR(VLOOKUP(K41,'MI5 Scale'!$A$2:$D$8,4,FALSE),"")</x:f>
        <x:v>0.5</x:v>
      </x:c>
      <x:c r="U41" s="23" t="n">
        <x:f>IFERROR(VLOOKUP(L41,'MI5 Scale'!$A$2:$D$8,4,FALSE),"")</x:f>
        <x:v>0.65</x:v>
      </x:c>
      <x:c r="V41" s="23" t="n">
        <x:f>IFERROR(VLOOKUP(M41,'MI5 Scale'!$A$2:$D$8,4,FALSE),"")</x:f>
        <x:v>0.65</x:v>
      </x:c>
      <x:c r="W41" s="23" t="n">
        <x:f>IFERROR(VLOOKUP(N41,'MI5 Scale'!$A$2:$D$8,4,FALSE),"")</x:f>
        <x:v>0.85</x:v>
      </x:c>
      <x:c r="X41" s="23" t="n">
        <x:f>IFERROR(VLOOKUP(O41,'MI5 Scale'!$A$2:$D$8,4,FALSE),"")</x:f>
        <x:v>0.65</x:v>
      </x:c>
      <x:c r="Y41" s="23" t="n">
        <x:f>IFERROR(POWER(P41,$F41/5),"")</x:f>
        <x:v>0.2871745887492588</x:v>
      </x:c>
      <x:c r="Z41" s="23" t="n">
        <x:f>IFERROR(POWER(Q41,$F41/5),"")</x:f>
        <x:v>0.7722323909917427</x:v>
      </x:c>
      <x:c r="AA41" s="23" t="n">
        <x:f>IFERROR(POWER(R41,$F41/5),"")</x:f>
        <x:v>0.7722323909917427</x:v>
      </x:c>
      <x:c r="AB41" s="23" t="n">
        <x:f>IFERROR(POWER(S41,$F41/5),"")</x:f>
        <x:v>0.6597539553864471</x:v>
      </x:c>
      <x:c r="AC41" s="23" t="n">
        <x:f>IFERROR(POWER(T41,$F41/5),"")</x:f>
        <x:v>0.6597539553864471</x:v>
      </x:c>
      <x:c r="AD41" s="23" t="n">
        <x:f>IFERROR(POWER(U41,$F41/5),"")</x:f>
        <x:v>0.7722323909917427</x:v>
      </x:c>
      <x:c r="AE41" s="23" t="n">
        <x:f>IFERROR(POWER(V41,$F41/5),"")</x:f>
        <x:v>0.7722323909917427</x:v>
      </x:c>
      <x:c r="AF41" s="23" t="n">
        <x:f>IFERROR(POWER(W41,$F41/5),"")</x:f>
        <x:v>0.9070920390192547</x:v>
      </x:c>
      <x:c r="AG41" s="23" t="n">
        <x:f>IFERROR(POWER(X41,$F41/5),"")</x:f>
        <x:v>0.7722323909917427</x:v>
      </x:c>
      <x:c r="AH41" s="22" t="str">
        <x:v>Moderate trust</x:v>
      </x:c>
      <x:c r="AI41" s="20" t="n">
        <x:f>IFERROR(LN(Y41),"")</x:f>
        <x:v>-1.2476649250079015</x:v>
      </x:c>
      <x:c r="AJ41" s="20" t="n">
        <x:f>IFERROR(LN(Z41),"")</x:f>
        <x:v>-0.2584697496554726</x:v>
      </x:c>
      <x:c r="AK41" s="20" t="n">
        <x:f>IFERROR(LN(AA41),"")</x:f>
        <x:v>-0.2584697496554726</x:v>
      </x:c>
      <x:c r="AL41" s="20" t="n">
        <x:f>IFERROR(LN(AB41),"")</x:f>
        <x:v>-0.41588830833596724</x:v>
      </x:c>
      <x:c r="AM41" s="20" t="n">
        <x:f>IFERROR(LN(AC41),"")</x:f>
        <x:v>-0.41588830833596724</x:v>
      </x:c>
      <x:c r="AN41" s="20" t="n">
        <x:f>IFERROR(LN(AD41),"")</x:f>
        <x:v>-0.2584697496554726</x:v>
      </x:c>
      <x:c r="AO41" s="20" t="n">
        <x:f>IFERROR(LN(AE41),"")</x:f>
        <x:v>-0.2584697496554726</x:v>
      </x:c>
      <x:c r="AP41" s="20" t="n">
        <x:f>IFERROR(LN(AF41),"")</x:f>
        <x:v>-0.09751135769866495</x:v>
      </x:c>
      <x:c r="AQ41" s="20" t="n">
        <x:f>IFERROR(LN(AG41),"")</x:f>
        <x:v>-0.2584697496554726</x:v>
      </x:c>
    </x:row>
    <x:row r="42" ht="15" hidden="0" customHeight="1">
      <x:c r="A42" s="22" t="str">
        <x:v>EV039</x:v>
      </x:c>
      <x:c r="B42" s="32"/>
      <x:c r="C42" s="22" t="str">
        <x:v>Human goodness observable</x:v>
      </x:c>
      <x:c r="D42" s="22" t="str">
        <x:v>Identity</x:v>
      </x:c>
      <x:c r="E42" s="22" t="str">
        <x:v>Psychology</x:v>
      </x:c>
      <x:c r="F42" s="33" t="n">
        <x:v>3</x:v>
      </x:c>
      <x:c r="G42" s="22" t="str">
        <x:v>Highly unlikely</x:v>
      </x:c>
      <x:c r="H42" s="22" t="str">
        <x:v>Likely / probable</x:v>
      </x:c>
      <x:c r="I42" s="22" t="str">
        <x:v>Likely / probable</x:v>
      </x:c>
      <x:c r="J42" s="22" t="str">
        <x:v>Roughly even chance</x:v>
      </x:c>
      <x:c r="K42" s="22" t="str">
        <x:v>Roughly even chance</x:v>
      </x:c>
      <x:c r="L42" s="22" t="str">
        <x:v>Likely / probable</x:v>
      </x:c>
      <x:c r="M42" s="22" t="str">
        <x:v>Likely / probable</x:v>
      </x:c>
      <x:c r="N42" s="22" t="str">
        <x:v>Highly likely</x:v>
      </x:c>
      <x:c r="O42" s="22" t="str">
        <x:v>Likely / probable</x:v>
      </x:c>
      <x:c r="P42" s="23" t="n">
        <x:f>IFERROR(VLOOKUP(G42,'MI5 Scale'!$A$2:$D$8,4,FALSE),"")</x:f>
        <x:v>0.125</x:v>
      </x:c>
      <x:c r="Q42" s="23" t="n">
        <x:f>IFERROR(VLOOKUP(H42,'MI5 Scale'!$A$2:$D$8,4,FALSE),"")</x:f>
        <x:v>0.65</x:v>
      </x:c>
      <x:c r="R42" s="23" t="n">
        <x:f>IFERROR(VLOOKUP(I42,'MI5 Scale'!$A$2:$D$8,4,FALSE),"")</x:f>
        <x:v>0.65</x:v>
      </x:c>
      <x:c r="S42" s="23" t="n">
        <x:f>IFERROR(VLOOKUP(J42,'MI5 Scale'!$A$2:$D$8,4,FALSE),"")</x:f>
        <x:v>0.5</x:v>
      </x:c>
      <x:c r="T42" s="23" t="n">
        <x:f>IFERROR(VLOOKUP(K42,'MI5 Scale'!$A$2:$D$8,4,FALSE),"")</x:f>
        <x:v>0.5</x:v>
      </x:c>
      <x:c r="U42" s="23" t="n">
        <x:f>IFERROR(VLOOKUP(L42,'MI5 Scale'!$A$2:$D$8,4,FALSE),"")</x:f>
        <x:v>0.65</x:v>
      </x:c>
      <x:c r="V42" s="23" t="n">
        <x:f>IFERROR(VLOOKUP(M42,'MI5 Scale'!$A$2:$D$8,4,FALSE),"")</x:f>
        <x:v>0.65</x:v>
      </x:c>
      <x:c r="W42" s="23" t="n">
        <x:f>IFERROR(VLOOKUP(N42,'MI5 Scale'!$A$2:$D$8,4,FALSE),"")</x:f>
        <x:v>0.85</x:v>
      </x:c>
      <x:c r="X42" s="23" t="n">
        <x:f>IFERROR(VLOOKUP(O42,'MI5 Scale'!$A$2:$D$8,4,FALSE),"")</x:f>
        <x:v>0.65</x:v>
      </x:c>
      <x:c r="Y42" s="23" t="n">
        <x:f>IFERROR(POWER(P42,$F42/5),"")</x:f>
        <x:v>0.2871745887492588</x:v>
      </x:c>
      <x:c r="Z42" s="23" t="n">
        <x:f>IFERROR(POWER(Q42,$F42/5),"")</x:f>
        <x:v>0.7722323909917427</x:v>
      </x:c>
      <x:c r="AA42" s="23" t="n">
        <x:f>IFERROR(POWER(R42,$F42/5),"")</x:f>
        <x:v>0.7722323909917427</x:v>
      </x:c>
      <x:c r="AB42" s="23" t="n">
        <x:f>IFERROR(POWER(S42,$F42/5),"")</x:f>
        <x:v>0.6597539553864471</x:v>
      </x:c>
      <x:c r="AC42" s="23" t="n">
        <x:f>IFERROR(POWER(T42,$F42/5),"")</x:f>
        <x:v>0.6597539553864471</x:v>
      </x:c>
      <x:c r="AD42" s="23" t="n">
        <x:f>IFERROR(POWER(U42,$F42/5),"")</x:f>
        <x:v>0.7722323909917427</x:v>
      </x:c>
      <x:c r="AE42" s="23" t="n">
        <x:f>IFERROR(POWER(V42,$F42/5),"")</x:f>
        <x:v>0.7722323909917427</x:v>
      </x:c>
      <x:c r="AF42" s="23" t="n">
        <x:f>IFERROR(POWER(W42,$F42/5),"")</x:f>
        <x:v>0.9070920390192547</x:v>
      </x:c>
      <x:c r="AG42" s="23" t="n">
        <x:f>IFERROR(POWER(X42,$F42/5),"")</x:f>
        <x:v>0.7722323909917427</x:v>
      </x:c>
      <x:c r="AH42" s="22" t="str">
        <x:v>Evidence-based</x:v>
      </x:c>
      <x:c r="AI42" s="20" t="n">
        <x:f>IFERROR(LN(Y42),"")</x:f>
        <x:v>-1.2476649250079015</x:v>
      </x:c>
      <x:c r="AJ42" s="20" t="n">
        <x:f>IFERROR(LN(Z42),"")</x:f>
        <x:v>-0.2584697496554726</x:v>
      </x:c>
      <x:c r="AK42" s="20" t="n">
        <x:f>IFERROR(LN(AA42),"")</x:f>
        <x:v>-0.2584697496554726</x:v>
      </x:c>
      <x:c r="AL42" s="20" t="n">
        <x:f>IFERROR(LN(AB42),"")</x:f>
        <x:v>-0.41588830833596724</x:v>
      </x:c>
      <x:c r="AM42" s="20" t="n">
        <x:f>IFERROR(LN(AC42),"")</x:f>
        <x:v>-0.41588830833596724</x:v>
      </x:c>
      <x:c r="AN42" s="20" t="n">
        <x:f>IFERROR(LN(AD42),"")</x:f>
        <x:v>-0.2584697496554726</x:v>
      </x:c>
      <x:c r="AO42" s="20" t="n">
        <x:f>IFERROR(LN(AE42),"")</x:f>
        <x:v>-0.2584697496554726</x:v>
      </x:c>
      <x:c r="AP42" s="20" t="n">
        <x:f>IFERROR(LN(AF42),"")</x:f>
        <x:v>-0.09751135769866495</x:v>
      </x:c>
      <x:c r="AQ42" s="20" t="n">
        <x:f>IFERROR(LN(AG42),"")</x:f>
        <x:v>-0.2584697496554726</x:v>
      </x:c>
    </x:row>
    <x:row r="43" ht="15" hidden="0" customHeight="1">
      <x:c r="A43" s="22" t="str">
        <x:v>EV040</x:v>
      </x:c>
      <x:c r="B43" s="32"/>
      <x:c r="C43" s="22" t="str">
        <x:v>Change possible without divine intervention</x:v>
      </x:c>
      <x:c r="D43" s="22" t="str">
        <x:v>Identity</x:v>
      </x:c>
      <x:c r="E43" s="22" t="str">
        <x:v>Psychology</x:v>
      </x:c>
      <x:c r="F43" s="33" t="n">
        <x:v>5</x:v>
      </x:c>
      <x:c r="G43" s="22" t="str">
        <x:v>Highly unlikely</x:v>
      </x:c>
      <x:c r="H43" s="22" t="str">
        <x:v>Likely / probable</x:v>
      </x:c>
      <x:c r="I43" s="22" t="str">
        <x:v>Likely / probable</x:v>
      </x:c>
      <x:c r="J43" s="22" t="str">
        <x:v>Unlikely</x:v>
      </x:c>
      <x:c r="K43" s="22" t="str">
        <x:v>Likely / probable</x:v>
      </x:c>
      <x:c r="L43" s="22" t="str">
        <x:v>Likely / probable</x:v>
      </x:c>
      <x:c r="M43" s="22" t="str">
        <x:v>Likely / probable</x:v>
      </x:c>
      <x:c r="N43" s="22" t="str">
        <x:v>Highly likely</x:v>
      </x:c>
      <x:c r="O43" s="22" t="str">
        <x:v>Highly likely</x:v>
      </x:c>
      <x:c r="P43" s="23" t="n">
        <x:f>IFERROR(VLOOKUP(G43,'MI5 Scale'!$A$2:$D$8,4,FALSE),"")</x:f>
        <x:v>0.125</x:v>
      </x:c>
      <x:c r="Q43" s="23" t="n">
        <x:f>IFERROR(VLOOKUP(H43,'MI5 Scale'!$A$2:$D$8,4,FALSE),"")</x:f>
        <x:v>0.65</x:v>
      </x:c>
      <x:c r="R43" s="23" t="n">
        <x:f>IFERROR(VLOOKUP(I43,'MI5 Scale'!$A$2:$D$8,4,FALSE),"")</x:f>
        <x:v>0.65</x:v>
      </x:c>
      <x:c r="S43" s="23" t="n">
        <x:f>IFERROR(VLOOKUP(J43,'MI5 Scale'!$A$2:$D$8,4,FALSE),"")</x:f>
        <x:v>0.325</x:v>
      </x:c>
      <x:c r="T43" s="23" t="n">
        <x:f>IFERROR(VLOOKUP(K43,'MI5 Scale'!$A$2:$D$8,4,FALSE),"")</x:f>
        <x:v>0.65</x:v>
      </x:c>
      <x:c r="U43" s="23" t="n">
        <x:f>IFERROR(VLOOKUP(L43,'MI5 Scale'!$A$2:$D$8,4,FALSE),"")</x:f>
        <x:v>0.65</x:v>
      </x:c>
      <x:c r="V43" s="23" t="n">
        <x:f>IFERROR(VLOOKUP(M43,'MI5 Scale'!$A$2:$D$8,4,FALSE),"")</x:f>
        <x:v>0.65</x:v>
      </x:c>
      <x:c r="W43" s="23" t="n">
        <x:f>IFERROR(VLOOKUP(N43,'MI5 Scale'!$A$2:$D$8,4,FALSE),"")</x:f>
        <x:v>0.85</x:v>
      </x:c>
      <x:c r="X43" s="23" t="n">
        <x:f>IFERROR(VLOOKUP(O43,'MI5 Scale'!$A$2:$D$8,4,FALSE),"")</x:f>
        <x:v>0.85</x:v>
      </x:c>
      <x:c r="Y43" s="23" t="n">
        <x:f>IFERROR(POWER(P43,$F43/5),"")</x:f>
        <x:v>0.125</x:v>
      </x:c>
      <x:c r="Z43" s="23" t="n">
        <x:f>IFERROR(POWER(Q43,$F43/5),"")</x:f>
        <x:v>0.65</x:v>
      </x:c>
      <x:c r="AA43" s="23" t="n">
        <x:f>IFERROR(POWER(R43,$F43/5),"")</x:f>
        <x:v>0.65</x:v>
      </x:c>
      <x:c r="AB43" s="23" t="n">
        <x:f>IFERROR(POWER(S43,$F43/5),"")</x:f>
        <x:v>0.325</x:v>
      </x:c>
      <x:c r="AC43" s="23" t="n">
        <x:f>IFERROR(POWER(T43,$F43/5),"")</x:f>
        <x:v>0.65</x:v>
      </x:c>
      <x:c r="AD43" s="23" t="n">
        <x:f>IFERROR(POWER(U43,$F43/5),"")</x:f>
        <x:v>0.65</x:v>
      </x:c>
      <x:c r="AE43" s="23" t="n">
        <x:f>IFERROR(POWER(V43,$F43/5),"")</x:f>
        <x:v>0.65</x:v>
      </x:c>
      <x:c r="AF43" s="23" t="n">
        <x:f>IFERROR(POWER(W43,$F43/5),"")</x:f>
        <x:v>0.85</x:v>
      </x:c>
      <x:c r="AG43" s="23" t="n">
        <x:f>IFERROR(POWER(X43,$F43/5),"")</x:f>
        <x:v>0.85</x:v>
      </x:c>
      <x:c r="AH43" s="22" t="str">
        <x:v>Empirical cases</x:v>
      </x:c>
      <x:c r="AI43" s="20" t="n">
        <x:f>IFERROR(LN(Y43),"")</x:f>
        <x:v>-2.0794415416798357</x:v>
      </x:c>
      <x:c r="AJ43" s="20" t="n">
        <x:f>IFERROR(LN(Z43),"")</x:f>
        <x:v>-0.4307829160924542</x:v>
      </x:c>
      <x:c r="AK43" s="20" t="n">
        <x:f>IFERROR(LN(AA43),"")</x:f>
        <x:v>-0.4307829160924542</x:v>
      </x:c>
      <x:c r="AL43" s="20" t="n">
        <x:f>IFERROR(LN(AB43),"")</x:f>
        <x:v>-1.1239300966523995</x:v>
      </x:c>
      <x:c r="AM43" s="20" t="n">
        <x:f>IFERROR(LN(AC43),"")</x:f>
        <x:v>-0.4307829160924542</x:v>
      </x:c>
      <x:c r="AN43" s="20" t="n">
        <x:f>IFERROR(LN(AD43),"")</x:f>
        <x:v>-0.4307829160924542</x:v>
      </x:c>
      <x:c r="AO43" s="20" t="n">
        <x:f>IFERROR(LN(AE43),"")</x:f>
        <x:v>-0.4307829160924542</x:v>
      </x:c>
      <x:c r="AP43" s="20" t="n">
        <x:f>IFERROR(LN(AF43),"")</x:f>
        <x:v>-0.16251892949777494</x:v>
      </x:c>
      <x:c r="AQ43" s="20" t="n">
        <x:f>IFERROR(LN(AG43),"")</x:f>
        <x:v>-0.16251892949777494</x:v>
      </x:c>
    </x:row>
    <x:row r="44" ht="15" hidden="0" customHeight="1">
      <x:c r="A44" s="22" t="str">
        <x:v>EV041</x:v>
      </x:c>
      <x:c r="B44" s="32"/>
      <x:c r="C44" s="22" t="str">
        <x:v>Suffering often lacks clear purpose</x:v>
      </x:c>
      <x:c r="D44" s="22" t="str">
        <x:v>Meaning</x:v>
      </x:c>
      <x:c r="E44" s="22" t="str">
        <x:v>Experience</x:v>
      </x:c>
      <x:c r="F44" s="33" t="n">
        <x:v>4</x:v>
      </x:c>
      <x:c r="G44" s="22" t="str">
        <x:v>Highly unlikely</x:v>
      </x:c>
      <x:c r="H44" s="22" t="str">
        <x:v>Roughly even chance</x:v>
      </x:c>
      <x:c r="I44" s="22" t="str">
        <x:v>Roughly even chance</x:v>
      </x:c>
      <x:c r="J44" s="22" t="str">
        <x:v>Highly unlikely</x:v>
      </x:c>
      <x:c r="K44" s="22" t="str">
        <x:v>Highly unlikely</x:v>
      </x:c>
      <x:c r="L44" s="22" t="str">
        <x:v>Unlikely</x:v>
      </x:c>
      <x:c r="M44" s="22" t="str">
        <x:v>Unlikely</x:v>
      </x:c>
      <x:c r="N44" s="22" t="str">
        <x:v>Roughly even chance</x:v>
      </x:c>
      <x:c r="O44" s="22" t="str">
        <x:v>Likely / probable</x:v>
      </x:c>
      <x:c r="P44" s="23" t="n">
        <x:f>IFERROR(VLOOKUP(G44,'MI5 Scale'!$A$2:$D$8,4,FALSE),"")</x:f>
        <x:v>0.125</x:v>
      </x:c>
      <x:c r="Q44" s="23" t="n">
        <x:f>IFERROR(VLOOKUP(H44,'MI5 Scale'!$A$2:$D$8,4,FALSE),"")</x:f>
        <x:v>0.5</x:v>
      </x:c>
      <x:c r="R44" s="23" t="n">
        <x:f>IFERROR(VLOOKUP(I44,'MI5 Scale'!$A$2:$D$8,4,FALSE),"")</x:f>
        <x:v>0.5</x:v>
      </x:c>
      <x:c r="S44" s="23" t="n">
        <x:f>IFERROR(VLOOKUP(J44,'MI5 Scale'!$A$2:$D$8,4,FALSE),"")</x:f>
        <x:v>0.125</x:v>
      </x:c>
      <x:c r="T44" s="23" t="n">
        <x:f>IFERROR(VLOOKUP(K44,'MI5 Scale'!$A$2:$D$8,4,FALSE),"")</x:f>
        <x:v>0.125</x:v>
      </x:c>
      <x:c r="U44" s="23" t="n">
        <x:f>IFERROR(VLOOKUP(L44,'MI5 Scale'!$A$2:$D$8,4,FALSE),"")</x:f>
        <x:v>0.325</x:v>
      </x:c>
      <x:c r="V44" s="23" t="n">
        <x:f>IFERROR(VLOOKUP(M44,'MI5 Scale'!$A$2:$D$8,4,FALSE),"")</x:f>
        <x:v>0.325</x:v>
      </x:c>
      <x:c r="W44" s="23" t="n">
        <x:f>IFERROR(VLOOKUP(N44,'MI5 Scale'!$A$2:$D$8,4,FALSE),"")</x:f>
        <x:v>0.5</x:v>
      </x:c>
      <x:c r="X44" s="23" t="n">
        <x:f>IFERROR(VLOOKUP(O44,'MI5 Scale'!$A$2:$D$8,4,FALSE),"")</x:f>
        <x:v>0.65</x:v>
      </x:c>
      <x:c r="Y44" s="23" t="n">
        <x:f>IFERROR(POWER(P44,$F44/5),"")</x:f>
        <x:v>0.18946457081379975</x:v>
      </x:c>
      <x:c r="Z44" s="23" t="n">
        <x:f>IFERROR(POWER(Q44,$F44/5),"")</x:f>
        <x:v>0.5743491774985174</x:v>
      </x:c>
      <x:c r="AA44" s="23" t="n">
        <x:f>IFERROR(POWER(R44,$F44/5),"")</x:f>
        <x:v>0.5743491774985174</x:v>
      </x:c>
      <x:c r="AB44" s="23" t="n">
        <x:f>IFERROR(POWER(S44,$F44/5),"")</x:f>
        <x:v>0.18946457081379975</x:v>
      </x:c>
      <x:c r="AC44" s="23" t="n">
        <x:f>IFERROR(POWER(T44,$F44/5),"")</x:f>
        <x:v>0.18946457081379975</x:v>
      </x:c>
      <x:c r="AD44" s="23" t="n">
        <x:f>IFERROR(POWER(U44,$F44/5),"")</x:f>
        <x:v>0.4069178009022941</x:v>
      </x:c>
      <x:c r="AE44" s="23" t="n">
        <x:f>IFERROR(POWER(V44,$F44/5),"")</x:f>
        <x:v>0.4069178009022941</x:v>
      </x:c>
      <x:c r="AF44" s="23" t="n">
        <x:f>IFERROR(POWER(W44,$F44/5),"")</x:f>
        <x:v>0.5743491774985174</x:v>
      </x:c>
      <x:c r="AG44" s="23" t="n">
        <x:f>IFERROR(POWER(X44,$F44/5),"")</x:f>
        <x:v>0.7084850415814244</x:v>
      </x:c>
      <x:c r="AH44" s="22" t="str">
        <x:v>Strong E1 signal</x:v>
      </x:c>
      <x:c r="AI44" s="20" t="n">
        <x:f>IFERROR(LN(Y44),"")</x:f>
        <x:v>-1.6635532333438687</x:v>
      </x:c>
      <x:c r="AJ44" s="20" t="n">
        <x:f>IFERROR(LN(Z44),"")</x:f>
        <x:v>-0.5545177444479563</x:v>
      </x:c>
      <x:c r="AK44" s="20" t="n">
        <x:f>IFERROR(LN(AA44),"")</x:f>
        <x:v>-0.5545177444479563</x:v>
      </x:c>
      <x:c r="AL44" s="20" t="n">
        <x:f>IFERROR(LN(AB44),"")</x:f>
        <x:v>-1.6635532333438687</x:v>
      </x:c>
      <x:c r="AM44" s="20" t="n">
        <x:f>IFERROR(LN(AC44),"")</x:f>
        <x:v>-1.6635532333438687</x:v>
      </x:c>
      <x:c r="AN44" s="20" t="n">
        <x:f>IFERROR(LN(AD44),"")</x:f>
        <x:v>-0.8991440773219196</x:v>
      </x:c>
      <x:c r="AO44" s="20" t="n">
        <x:f>IFERROR(LN(AE44),"")</x:f>
        <x:v>-0.8991440773219196</x:v>
      </x:c>
      <x:c r="AP44" s="20" t="n">
        <x:f>IFERROR(LN(AF44),"")</x:f>
        <x:v>-0.5545177444479563</x:v>
      </x:c>
      <x:c r="AQ44" s="20" t="n">
        <x:f>IFERROR(LN(AG44),"")</x:f>
        <x:v>-0.34462633287396344</x:v>
      </x:c>
    </x:row>
    <x:row r="45" ht="15" hidden="0" customHeight="1">
      <x:c r="A45" s="22" t="str">
        <x:v>EV042</x:v>
      </x:c>
      <x:c r="B45" s="32"/>
      <x:c r="C45" s="22" t="str">
        <x:v>Faith does not guarantee desired outcomes</x:v>
      </x:c>
      <x:c r="D45" s="22" t="str">
        <x:v>Meaning</x:v>
      </x:c>
      <x:c r="E45" s="22" t="str">
        <x:v>Experience</x:v>
      </x:c>
      <x:c r="F45" s="33" t="n">
        <x:v>4</x:v>
      </x:c>
      <x:c r="G45" s="22" t="str">
        <x:v>Highly unlikely</x:v>
      </x:c>
      <x:c r="H45" s="22" t="str">
        <x:v>Roughly even chance</x:v>
      </x:c>
      <x:c r="I45" s="22" t="str">
        <x:v>Likely / probable</x:v>
      </x:c>
      <x:c r="J45" s="22" t="str">
        <x:v>Unlikely</x:v>
      </x:c>
      <x:c r="K45" s="22" t="str">
        <x:v>Likely / probable</x:v>
      </x:c>
      <x:c r="L45" s="22" t="str">
        <x:v>Roughly even chance</x:v>
      </x:c>
      <x:c r="M45" s="22" t="str">
        <x:v>Roughly even chance</x:v>
      </x:c>
      <x:c r="N45" s="22" t="str">
        <x:v>Likely / probable</x:v>
      </x:c>
      <x:c r="O45" s="22" t="str">
        <x:v>Likely / probable</x:v>
      </x:c>
      <x:c r="P45" s="23" t="n">
        <x:f>IFERROR(VLOOKUP(G45,'MI5 Scale'!$A$2:$D$8,4,FALSE),"")</x:f>
        <x:v>0.125</x:v>
      </x:c>
      <x:c r="Q45" s="23" t="n">
        <x:f>IFERROR(VLOOKUP(H45,'MI5 Scale'!$A$2:$D$8,4,FALSE),"")</x:f>
        <x:v>0.5</x:v>
      </x:c>
      <x:c r="R45" s="23" t="n">
        <x:f>IFERROR(VLOOKUP(I45,'MI5 Scale'!$A$2:$D$8,4,FALSE),"")</x:f>
        <x:v>0.65</x:v>
      </x:c>
      <x:c r="S45" s="23" t="n">
        <x:f>IFERROR(VLOOKUP(J45,'MI5 Scale'!$A$2:$D$8,4,FALSE),"")</x:f>
        <x:v>0.325</x:v>
      </x:c>
      <x:c r="T45" s="23" t="n">
        <x:f>IFERROR(VLOOKUP(K45,'MI5 Scale'!$A$2:$D$8,4,FALSE),"")</x:f>
        <x:v>0.65</x:v>
      </x:c>
      <x:c r="U45" s="23" t="n">
        <x:f>IFERROR(VLOOKUP(L45,'MI5 Scale'!$A$2:$D$8,4,FALSE),"")</x:f>
        <x:v>0.5</x:v>
      </x:c>
      <x:c r="V45" s="23" t="n">
        <x:f>IFERROR(VLOOKUP(M45,'MI5 Scale'!$A$2:$D$8,4,FALSE),"")</x:f>
        <x:v>0.5</x:v>
      </x:c>
      <x:c r="W45" s="23" t="n">
        <x:f>IFERROR(VLOOKUP(N45,'MI5 Scale'!$A$2:$D$8,4,FALSE),"")</x:f>
        <x:v>0.65</x:v>
      </x:c>
      <x:c r="X45" s="23" t="n">
        <x:f>IFERROR(VLOOKUP(O45,'MI5 Scale'!$A$2:$D$8,4,FALSE),"")</x:f>
        <x:v>0.65</x:v>
      </x:c>
      <x:c r="Y45" s="23" t="n">
        <x:f>IFERROR(POWER(P45,$F45/5),"")</x:f>
        <x:v>0.18946457081379975</x:v>
      </x:c>
      <x:c r="Z45" s="23" t="n">
        <x:f>IFERROR(POWER(Q45,$F45/5),"")</x:f>
        <x:v>0.5743491774985174</x:v>
      </x:c>
      <x:c r="AA45" s="23" t="n">
        <x:f>IFERROR(POWER(R45,$F45/5),"")</x:f>
        <x:v>0.7084850415814244</x:v>
      </x:c>
      <x:c r="AB45" s="23" t="n">
        <x:f>IFERROR(POWER(S45,$F45/5),"")</x:f>
        <x:v>0.4069178009022941</x:v>
      </x:c>
      <x:c r="AC45" s="23" t="n">
        <x:f>IFERROR(POWER(T45,$F45/5),"")</x:f>
        <x:v>0.7084850415814244</x:v>
      </x:c>
      <x:c r="AD45" s="23" t="n">
        <x:f>IFERROR(POWER(U45,$F45/5),"")</x:f>
        <x:v>0.5743491774985174</x:v>
      </x:c>
      <x:c r="AE45" s="23" t="n">
        <x:f>IFERROR(POWER(V45,$F45/5),"")</x:f>
        <x:v>0.5743491774985174</x:v>
      </x:c>
      <x:c r="AF45" s="23" t="n">
        <x:f>IFERROR(POWER(W45,$F45/5),"")</x:f>
        <x:v>0.7084850415814244</x:v>
      </x:c>
      <x:c r="AG45" s="23" t="n">
        <x:f>IFERROR(POWER(X45,$F45/5),"")</x:f>
        <x:v>0.7084850415814244</x:v>
      </x:c>
      <x:c r="AH45" s="22" t="str">
        <x:v>Disconfirmed expectation</x:v>
      </x:c>
      <x:c r="AI45" s="20" t="n">
        <x:f>IFERROR(LN(Y45),"")</x:f>
        <x:v>-1.6635532333438687</x:v>
      </x:c>
      <x:c r="AJ45" s="20" t="n">
        <x:f>IFERROR(LN(Z45),"")</x:f>
        <x:v>-0.5545177444479563</x:v>
      </x:c>
      <x:c r="AK45" s="20" t="n">
        <x:f>IFERROR(LN(AA45),"")</x:f>
        <x:v>-0.34462633287396344</x:v>
      </x:c>
      <x:c r="AL45" s="20" t="n">
        <x:f>IFERROR(LN(AB45),"")</x:f>
        <x:v>-0.8991440773219196</x:v>
      </x:c>
      <x:c r="AM45" s="20" t="n">
        <x:f>IFERROR(LN(AC45),"")</x:f>
        <x:v>-0.34462633287396344</x:v>
      </x:c>
      <x:c r="AN45" s="20" t="n">
        <x:f>IFERROR(LN(AD45),"")</x:f>
        <x:v>-0.5545177444479563</x:v>
      </x:c>
      <x:c r="AO45" s="20" t="n">
        <x:f>IFERROR(LN(AE45),"")</x:f>
        <x:v>-0.5545177444479563</x:v>
      </x:c>
      <x:c r="AP45" s="20" t="n">
        <x:f>IFERROR(LN(AF45),"")</x:f>
        <x:v>-0.34462633287396344</x:v>
      </x:c>
      <x:c r="AQ45" s="20" t="n">
        <x:f>IFERROR(LN(AG45),"")</x:f>
        <x:v>-0.34462633287396344</x:v>
      </x:c>
    </x:row>
    <x:row r="46" ht="15" hidden="0" customHeight="1">
      <x:c r="A46" s="22" t="str">
        <x:v>EV043</x:v>
      </x:c>
      <x:c r="B46" s="32"/>
      <x:c r="C46" s="22" t="str">
        <x:v>Events interpreted as guidance may be coincidence</x:v>
      </x:c>
      <x:c r="D46" s="22" t="str">
        <x:v>Meaning</x:v>
      </x:c>
      <x:c r="E46" s="22" t="str">
        <x:v>Psychology</x:v>
      </x:c>
      <x:c r="F46" s="33" t="n">
        <x:v>3</x:v>
      </x:c>
      <x:c r="G46" s="22" t="str">
        <x:v>Highly unlikely</x:v>
      </x:c>
      <x:c r="H46" s="22" t="str">
        <x:v>Roughly even chance</x:v>
      </x:c>
      <x:c r="I46" s="22" t="str">
        <x:v>Roughly even chance</x:v>
      </x:c>
      <x:c r="J46" s="22" t="str">
        <x:v>Unlikely</x:v>
      </x:c>
      <x:c r="K46" s="22" t="str">
        <x:v>Likely / probable</x:v>
      </x:c>
      <x:c r="L46" s="22" t="str">
        <x:v>Roughly even chance</x:v>
      </x:c>
      <x:c r="M46" s="22" t="str">
        <x:v>Roughly even chance</x:v>
      </x:c>
      <x:c r="N46" s="22" t="str">
        <x:v>Likely / probable</x:v>
      </x:c>
      <x:c r="O46" s="22" t="str">
        <x:v>Likely / probable</x:v>
      </x:c>
      <x:c r="P46" s="23" t="n">
        <x:f>IFERROR(VLOOKUP(G46,'MI5 Scale'!$A$2:$D$8,4,FALSE),"")</x:f>
        <x:v>0.125</x:v>
      </x:c>
      <x:c r="Q46" s="23" t="n">
        <x:f>IFERROR(VLOOKUP(H46,'MI5 Scale'!$A$2:$D$8,4,FALSE),"")</x:f>
        <x:v>0.5</x:v>
      </x:c>
      <x:c r="R46" s="23" t="n">
        <x:f>IFERROR(VLOOKUP(I46,'MI5 Scale'!$A$2:$D$8,4,FALSE),"")</x:f>
        <x:v>0.5</x:v>
      </x:c>
      <x:c r="S46" s="23" t="n">
        <x:f>IFERROR(VLOOKUP(J46,'MI5 Scale'!$A$2:$D$8,4,FALSE),"")</x:f>
        <x:v>0.325</x:v>
      </x:c>
      <x:c r="T46" s="23" t="n">
        <x:f>IFERROR(VLOOKUP(K46,'MI5 Scale'!$A$2:$D$8,4,FALSE),"")</x:f>
        <x:v>0.65</x:v>
      </x:c>
      <x:c r="U46" s="23" t="n">
        <x:f>IFERROR(VLOOKUP(L46,'MI5 Scale'!$A$2:$D$8,4,FALSE),"")</x:f>
        <x:v>0.5</x:v>
      </x:c>
      <x:c r="V46" s="23" t="n">
        <x:f>IFERROR(VLOOKUP(M46,'MI5 Scale'!$A$2:$D$8,4,FALSE),"")</x:f>
        <x:v>0.5</x:v>
      </x:c>
      <x:c r="W46" s="23" t="n">
        <x:f>IFERROR(VLOOKUP(N46,'MI5 Scale'!$A$2:$D$8,4,FALSE),"")</x:f>
        <x:v>0.65</x:v>
      </x:c>
      <x:c r="X46" s="23" t="n">
        <x:f>IFERROR(VLOOKUP(O46,'MI5 Scale'!$A$2:$D$8,4,FALSE),"")</x:f>
        <x:v>0.65</x:v>
      </x:c>
      <x:c r="Y46" s="23" t="n">
        <x:f>IFERROR(POWER(P46,$F46/5),"")</x:f>
        <x:v>0.2871745887492588</x:v>
      </x:c>
      <x:c r="Z46" s="23" t="n">
        <x:f>IFERROR(POWER(Q46,$F46/5),"")</x:f>
        <x:v>0.6597539553864471</x:v>
      </x:c>
      <x:c r="AA46" s="23" t="n">
        <x:f>IFERROR(POWER(R46,$F46/5),"")</x:f>
        <x:v>0.6597539553864471</x:v>
      </x:c>
      <x:c r="AB46" s="23" t="n">
        <x:f>IFERROR(POWER(S46,$F46/5),"")</x:f>
        <x:v>0.5094833744343357</x:v>
      </x:c>
      <x:c r="AC46" s="23" t="n">
        <x:f>IFERROR(POWER(T46,$F46/5),"")</x:f>
        <x:v>0.7722323909917427</x:v>
      </x:c>
      <x:c r="AD46" s="23" t="n">
        <x:f>IFERROR(POWER(U46,$F46/5),"")</x:f>
        <x:v>0.6597539553864471</x:v>
      </x:c>
      <x:c r="AE46" s="23" t="n">
        <x:f>IFERROR(POWER(V46,$F46/5),"")</x:f>
        <x:v>0.6597539553864471</x:v>
      </x:c>
      <x:c r="AF46" s="23" t="n">
        <x:f>IFERROR(POWER(W46,$F46/5),"")</x:f>
        <x:v>0.7722323909917427</x:v>
      </x:c>
      <x:c r="AG46" s="23" t="n">
        <x:f>IFERROR(POWER(X46,$F46/5),"")</x:f>
        <x:v>0.7722323909917427</x:v>
      </x:c>
      <x:c r="AH46" s="22" t="str">
        <x:v>Natural explanation</x:v>
      </x:c>
      <x:c r="AI46" s="20" t="n">
        <x:f>IFERROR(LN(Y46),"")</x:f>
        <x:v>-1.2476649250079015</x:v>
      </x:c>
      <x:c r="AJ46" s="20" t="n">
        <x:f>IFERROR(LN(Z46),"")</x:f>
        <x:v>-0.41588830833596724</x:v>
      </x:c>
      <x:c r="AK46" s="20" t="n">
        <x:f>IFERROR(LN(AA46),"")</x:f>
        <x:v>-0.41588830833596724</x:v>
      </x:c>
      <x:c r="AL46" s="20" t="n">
        <x:f>IFERROR(LN(AB46),"")</x:f>
        <x:v>-0.6743580579914397</x:v>
      </x:c>
      <x:c r="AM46" s="20" t="n">
        <x:f>IFERROR(LN(AC46),"")</x:f>
        <x:v>-0.2584697496554726</x:v>
      </x:c>
      <x:c r="AN46" s="20" t="n">
        <x:f>IFERROR(LN(AD46),"")</x:f>
        <x:v>-0.41588830833596724</x:v>
      </x:c>
      <x:c r="AO46" s="20" t="n">
        <x:f>IFERROR(LN(AE46),"")</x:f>
        <x:v>-0.41588830833596724</x:v>
      </x:c>
      <x:c r="AP46" s="20" t="n">
        <x:f>IFERROR(LN(AF46),"")</x:f>
        <x:v>-0.2584697496554726</x:v>
      </x:c>
      <x:c r="AQ46" s="20" t="n">
        <x:f>IFERROR(LN(AG46),"")</x:f>
        <x:v>-0.2584697496554726</x:v>
      </x:c>
    </x:row>
    <x:row r="47" ht="15" hidden="0" customHeight="1">
      <x:c r="A47" s="22" t="str">
        <x:v>EV044</x:v>
      </x:c>
      <x:c r="B47" s="32"/>
      <x:c r="C47" s="22" t="str">
        <x:v>Meaning may be human-constructed</x:v>
      </x:c>
      <x:c r="D47" s="22" t="str">
        <x:v>Meaning</x:v>
      </x:c>
      <x:c r="E47" s="22" t="str">
        <x:v>Philosophy</x:v>
      </x:c>
      <x:c r="F47" s="33" t="n">
        <x:v>3</x:v>
      </x:c>
      <x:c r="G47" s="22" t="str">
        <x:v>Highly unlikely</x:v>
      </x:c>
      <x:c r="H47" s="22" t="str">
        <x:v>Roughly even chance</x:v>
      </x:c>
      <x:c r="I47" s="22" t="str">
        <x:v>Roughly even chance</x:v>
      </x:c>
      <x:c r="J47" s="22" t="str">
        <x:v>Unlikely</x:v>
      </x:c>
      <x:c r="K47" s="22" t="str">
        <x:v>Roughly even chance</x:v>
      </x:c>
      <x:c r="L47" s="22" t="str">
        <x:v>Likely / probable</x:v>
      </x:c>
      <x:c r="M47" s="22" t="str">
        <x:v>Likely / probable</x:v>
      </x:c>
      <x:c r="N47" s="22" t="str">
        <x:v>Highly likely</x:v>
      </x:c>
      <x:c r="O47" s="22" t="str">
        <x:v>Likely / probable</x:v>
      </x:c>
      <x:c r="P47" s="23" t="n">
        <x:f>IFERROR(VLOOKUP(G47,'MI5 Scale'!$A$2:$D$8,4,FALSE),"")</x:f>
        <x:v>0.125</x:v>
      </x:c>
      <x:c r="Q47" s="23" t="n">
        <x:f>IFERROR(VLOOKUP(H47,'MI5 Scale'!$A$2:$D$8,4,FALSE),"")</x:f>
        <x:v>0.5</x:v>
      </x:c>
      <x:c r="R47" s="23" t="n">
        <x:f>IFERROR(VLOOKUP(I47,'MI5 Scale'!$A$2:$D$8,4,FALSE),"")</x:f>
        <x:v>0.5</x:v>
      </x:c>
      <x:c r="S47" s="23" t="n">
        <x:f>IFERROR(VLOOKUP(J47,'MI5 Scale'!$A$2:$D$8,4,FALSE),"")</x:f>
        <x:v>0.325</x:v>
      </x:c>
      <x:c r="T47" s="23" t="n">
        <x:f>IFERROR(VLOOKUP(K47,'MI5 Scale'!$A$2:$D$8,4,FALSE),"")</x:f>
        <x:v>0.5</x:v>
      </x:c>
      <x:c r="U47" s="23" t="n">
        <x:f>IFERROR(VLOOKUP(L47,'MI5 Scale'!$A$2:$D$8,4,FALSE),"")</x:f>
        <x:v>0.65</x:v>
      </x:c>
      <x:c r="V47" s="23" t="n">
        <x:f>IFERROR(VLOOKUP(M47,'MI5 Scale'!$A$2:$D$8,4,FALSE),"")</x:f>
        <x:v>0.65</x:v>
      </x:c>
      <x:c r="W47" s="23" t="n">
        <x:f>IFERROR(VLOOKUP(N47,'MI5 Scale'!$A$2:$D$8,4,FALSE),"")</x:f>
        <x:v>0.85</x:v>
      </x:c>
      <x:c r="X47" s="23" t="n">
        <x:f>IFERROR(VLOOKUP(O47,'MI5 Scale'!$A$2:$D$8,4,FALSE),"")</x:f>
        <x:v>0.65</x:v>
      </x:c>
      <x:c r="Y47" s="23" t="n">
        <x:f>IFERROR(POWER(P47,$F47/5),"")</x:f>
        <x:v>0.2871745887492588</x:v>
      </x:c>
      <x:c r="Z47" s="23" t="n">
        <x:f>IFERROR(POWER(Q47,$F47/5),"")</x:f>
        <x:v>0.6597539553864471</x:v>
      </x:c>
      <x:c r="AA47" s="23" t="n">
        <x:f>IFERROR(POWER(R47,$F47/5),"")</x:f>
        <x:v>0.6597539553864471</x:v>
      </x:c>
      <x:c r="AB47" s="23" t="n">
        <x:f>IFERROR(POWER(S47,$F47/5),"")</x:f>
        <x:v>0.5094833744343357</x:v>
      </x:c>
      <x:c r="AC47" s="23" t="n">
        <x:f>IFERROR(POWER(T47,$F47/5),"")</x:f>
        <x:v>0.6597539553864471</x:v>
      </x:c>
      <x:c r="AD47" s="23" t="n">
        <x:f>IFERROR(POWER(U47,$F47/5),"")</x:f>
        <x:v>0.7722323909917427</x:v>
      </x:c>
      <x:c r="AE47" s="23" t="n">
        <x:f>IFERROR(POWER(V47,$F47/5),"")</x:f>
        <x:v>0.7722323909917427</x:v>
      </x:c>
      <x:c r="AF47" s="23" t="n">
        <x:f>IFERROR(POWER(W47,$F47/5),"")</x:f>
        <x:v>0.9070920390192547</x:v>
      </x:c>
      <x:c r="AG47" s="23" t="n">
        <x:f>IFERROR(POWER(X47,$F47/5),"")</x:f>
        <x:v>0.7722323909917427</x:v>
      </x:c>
      <x:c r="AH47" s="22" t="str">
        <x:v>Emerging view</x:v>
      </x:c>
      <x:c r="AI47" s="20" t="n">
        <x:f>IFERROR(LN(Y47),"")</x:f>
        <x:v>-1.2476649250079015</x:v>
      </x:c>
      <x:c r="AJ47" s="20" t="n">
        <x:f>IFERROR(LN(Z47),"")</x:f>
        <x:v>-0.41588830833596724</x:v>
      </x:c>
      <x:c r="AK47" s="20" t="n">
        <x:f>IFERROR(LN(AA47),"")</x:f>
        <x:v>-0.41588830833596724</x:v>
      </x:c>
      <x:c r="AL47" s="20" t="n">
        <x:f>IFERROR(LN(AB47),"")</x:f>
        <x:v>-0.6743580579914397</x:v>
      </x:c>
      <x:c r="AM47" s="20" t="n">
        <x:f>IFERROR(LN(AC47),"")</x:f>
        <x:v>-0.41588830833596724</x:v>
      </x:c>
      <x:c r="AN47" s="20" t="n">
        <x:f>IFERROR(LN(AD47),"")</x:f>
        <x:v>-0.2584697496554726</x:v>
      </x:c>
      <x:c r="AO47" s="20" t="n">
        <x:f>IFERROR(LN(AE47),"")</x:f>
        <x:v>-0.2584697496554726</x:v>
      </x:c>
      <x:c r="AP47" s="20" t="n">
        <x:f>IFERROR(LN(AF47),"")</x:f>
        <x:v>-0.09751135769866495</x:v>
      </x:c>
      <x:c r="AQ47" s="20" t="n">
        <x:f>IFERROR(LN(AG47),"")</x:f>
        <x:v>-0.2584697496554726</x:v>
      </x:c>
    </x:row>
    <x:row r="48" ht="15" hidden="0" customHeight="1">
      <x:c r="A48" s="22" t="str">
        <x:v>EV045</x:v>
      </x:c>
      <x:c r="B48" s="32"/>
      <x:c r="C48" s="22" t="str">
        <x:v>Personal suffering challenges divine protection</x:v>
      </x:c>
      <x:c r="D48" s="22" t="str">
        <x:v>Personal</x:v>
      </x:c>
      <x:c r="E48" s="22" t="str">
        <x:v>Experience</x:v>
      </x:c>
      <x:c r="F48" s="33" t="n">
        <x:v>4</x:v>
      </x:c>
      <x:c r="G48" s="22" t="str">
        <x:v>Highly unlikely</x:v>
      </x:c>
      <x:c r="H48" s="22" t="str">
        <x:v>Unlikely</x:v>
      </x:c>
      <x:c r="I48" s="22" t="str">
        <x:v>Likely / probable</x:v>
      </x:c>
      <x:c r="J48" s="22" t="str">
        <x:v>Unlikely</x:v>
      </x:c>
      <x:c r="K48" s="22" t="str">
        <x:v>Roughly even chance</x:v>
      </x:c>
      <x:c r="L48" s="22" t="str">
        <x:v>Roughly even chance</x:v>
      </x:c>
      <x:c r="M48" s="22" t="str">
        <x:v>Roughly even chance</x:v>
      </x:c>
      <x:c r="N48" s="22" t="str">
        <x:v>Roughly even chance</x:v>
      </x:c>
      <x:c r="O48" s="22" t="str">
        <x:v>Likely / probable</x:v>
      </x:c>
      <x:c r="P48" s="23" t="n">
        <x:f>IFERROR(VLOOKUP(G48,'MI5 Scale'!$A$2:$D$8,4,FALSE),"")</x:f>
        <x:v>0.125</x:v>
      </x:c>
      <x:c r="Q48" s="23" t="n">
        <x:f>IFERROR(VLOOKUP(H48,'MI5 Scale'!$A$2:$D$8,4,FALSE),"")</x:f>
        <x:v>0.325</x:v>
      </x:c>
      <x:c r="R48" s="23" t="n">
        <x:f>IFERROR(VLOOKUP(I48,'MI5 Scale'!$A$2:$D$8,4,FALSE),"")</x:f>
        <x:v>0.65</x:v>
      </x:c>
      <x:c r="S48" s="23" t="n">
        <x:f>IFERROR(VLOOKUP(J48,'MI5 Scale'!$A$2:$D$8,4,FALSE),"")</x:f>
        <x:v>0.325</x:v>
      </x:c>
      <x:c r="T48" s="23" t="n">
        <x:f>IFERROR(VLOOKUP(K48,'MI5 Scale'!$A$2:$D$8,4,FALSE),"")</x:f>
        <x:v>0.5</x:v>
      </x:c>
      <x:c r="U48" s="23" t="n">
        <x:f>IFERROR(VLOOKUP(L48,'MI5 Scale'!$A$2:$D$8,4,FALSE),"")</x:f>
        <x:v>0.5</x:v>
      </x:c>
      <x:c r="V48" s="23" t="n">
        <x:f>IFERROR(VLOOKUP(M48,'MI5 Scale'!$A$2:$D$8,4,FALSE),"")</x:f>
        <x:v>0.5</x:v>
      </x:c>
      <x:c r="W48" s="23" t="n">
        <x:f>IFERROR(VLOOKUP(N48,'MI5 Scale'!$A$2:$D$8,4,FALSE),"")</x:f>
        <x:v>0.5</x:v>
      </x:c>
      <x:c r="X48" s="23" t="n">
        <x:f>IFERROR(VLOOKUP(O48,'MI5 Scale'!$A$2:$D$8,4,FALSE),"")</x:f>
        <x:v>0.65</x:v>
      </x:c>
      <x:c r="Y48" s="23" t="n">
        <x:f>IFERROR(POWER(P48,$F48/5),"")</x:f>
        <x:v>0.18946457081379975</x:v>
      </x:c>
      <x:c r="Z48" s="23" t="n">
        <x:f>IFERROR(POWER(Q48,$F48/5),"")</x:f>
        <x:v>0.4069178009022941</x:v>
      </x:c>
      <x:c r="AA48" s="23" t="n">
        <x:f>IFERROR(POWER(R48,$F48/5),"")</x:f>
        <x:v>0.7084850415814244</x:v>
      </x:c>
      <x:c r="AB48" s="23" t="n">
        <x:f>IFERROR(POWER(S48,$F48/5),"")</x:f>
        <x:v>0.4069178009022941</x:v>
      </x:c>
      <x:c r="AC48" s="23" t="n">
        <x:f>IFERROR(POWER(T48,$F48/5),"")</x:f>
        <x:v>0.5743491774985174</x:v>
      </x:c>
      <x:c r="AD48" s="23" t="n">
        <x:f>IFERROR(POWER(U48,$F48/5),"")</x:f>
        <x:v>0.5743491774985174</x:v>
      </x:c>
      <x:c r="AE48" s="23" t="n">
        <x:f>IFERROR(POWER(V48,$F48/5),"")</x:f>
        <x:v>0.5743491774985174</x:v>
      </x:c>
      <x:c r="AF48" s="23" t="n">
        <x:f>IFERROR(POWER(W48,$F48/5),"")</x:f>
        <x:v>0.5743491774985174</x:v>
      </x:c>
      <x:c r="AG48" s="23" t="n">
        <x:f>IFERROR(POWER(X48,$F48/5),"")</x:f>
        <x:v>0.7084850415814244</x:v>
      </x:c>
      <x:c r="AH48" s="22" t="str">
        <x:v>Major driver</x:v>
      </x:c>
      <x:c r="AI48" s="20" t="n">
        <x:f>IFERROR(LN(Y48),"")</x:f>
        <x:v>-1.6635532333438687</x:v>
      </x:c>
      <x:c r="AJ48" s="20" t="n">
        <x:f>IFERROR(LN(Z48),"")</x:f>
        <x:v>-0.8991440773219196</x:v>
      </x:c>
      <x:c r="AK48" s="20" t="n">
        <x:f>IFERROR(LN(AA48),"")</x:f>
        <x:v>-0.34462633287396344</x:v>
      </x:c>
      <x:c r="AL48" s="20" t="n">
        <x:f>IFERROR(LN(AB48),"")</x:f>
        <x:v>-0.8991440773219196</x:v>
      </x:c>
      <x:c r="AM48" s="20" t="n">
        <x:f>IFERROR(LN(AC48),"")</x:f>
        <x:v>-0.5545177444479563</x:v>
      </x:c>
      <x:c r="AN48" s="20" t="n">
        <x:f>IFERROR(LN(AD48),"")</x:f>
        <x:v>-0.5545177444479563</x:v>
      </x:c>
      <x:c r="AO48" s="20" t="n">
        <x:f>IFERROR(LN(AE48),"")</x:f>
        <x:v>-0.5545177444479563</x:v>
      </x:c>
      <x:c r="AP48" s="20" t="n">
        <x:f>IFERROR(LN(AF48),"")</x:f>
        <x:v>-0.5545177444479563</x:v>
      </x:c>
      <x:c r="AQ48" s="20" t="n">
        <x:f>IFERROR(LN(AG48),"")</x:f>
        <x:v>-0.34462633287396344</x:v>
      </x:c>
    </x:row>
    <x:row r="49" ht="15" hidden="0" customHeight="1">
      <x:c r="A49" s="22" t="str">
        <x:v>EV046</x:v>
      </x:c>
      <x:c r="B49" s="32"/>
      <x:c r="C49" s="22" t="str">
        <x:v>Consciousness not fully explained by physical processes</x:v>
      </x:c>
      <x:c r="D49" s="22" t="str">
        <x:v>Consciousness</x:v>
      </x:c>
      <x:c r="E49" s="22" t="str">
        <x:v>Philosophy of Mind</x:v>
      </x:c>
      <x:c r="F49" s="33" t="n">
        <x:v>5</x:v>
      </x:c>
      <x:c r="G49" s="22" t="str">
        <x:v>Likely / probable</x:v>
      </x:c>
      <x:c r="H49" s="22" t="str">
        <x:v>Likely / probable</x:v>
      </x:c>
      <x:c r="I49" s="22" t="str">
        <x:v>Highly likely</x:v>
      </x:c>
      <x:c r="J49" s="22" t="str">
        <x:v>Highly likely</x:v>
      </x:c>
      <x:c r="K49" s="22" t="str">
        <x:v>Roughly even chance</x:v>
      </x:c>
      <x:c r="L49" s="22" t="str">
        <x:v>Highly likely</x:v>
      </x:c>
      <x:c r="M49" s="22" t="str">
        <x:v>Likely / probable</x:v>
      </x:c>
      <x:c r="N49" s="22" t="str">
        <x:v>Roughly even chance</x:v>
      </x:c>
      <x:c r="O49" s="22" t="str">
        <x:v>Unlikely</x:v>
      </x:c>
      <x:c r="P49" s="23" t="n">
        <x:f>IFERROR(VLOOKUP(G49,'MI5 Scale'!$A$2:$D$8,4,FALSE),"")</x:f>
        <x:v>0.65</x:v>
      </x:c>
      <x:c r="Q49" s="23" t="n">
        <x:f>IFERROR(VLOOKUP(H49,'MI5 Scale'!$A$2:$D$8,4,FALSE),"")</x:f>
        <x:v>0.65</x:v>
      </x:c>
      <x:c r="R49" s="23" t="n">
        <x:f>IFERROR(VLOOKUP(I49,'MI5 Scale'!$A$2:$D$8,4,FALSE),"")</x:f>
        <x:v>0.85</x:v>
      </x:c>
      <x:c r="S49" s="23" t="n">
        <x:f>IFERROR(VLOOKUP(J49,'MI5 Scale'!$A$2:$D$8,4,FALSE),"")</x:f>
        <x:v>0.85</x:v>
      </x:c>
      <x:c r="T49" s="23" t="n">
        <x:f>IFERROR(VLOOKUP(K49,'MI5 Scale'!$A$2:$D$8,4,FALSE),"")</x:f>
        <x:v>0.5</x:v>
      </x:c>
      <x:c r="U49" s="23" t="n">
        <x:f>IFERROR(VLOOKUP(L49,'MI5 Scale'!$A$2:$D$8,4,FALSE),"")</x:f>
        <x:v>0.85</x:v>
      </x:c>
      <x:c r="V49" s="23" t="n">
        <x:f>IFERROR(VLOOKUP(M49,'MI5 Scale'!$A$2:$D$8,4,FALSE),"")</x:f>
        <x:v>0.65</x:v>
      </x:c>
      <x:c r="W49" s="23" t="n">
        <x:f>IFERROR(VLOOKUP(N49,'MI5 Scale'!$A$2:$D$8,4,FALSE),"")</x:f>
        <x:v>0.5</x:v>
      </x:c>
      <x:c r="X49" s="23" t="n">
        <x:f>IFERROR(VLOOKUP(O49,'MI5 Scale'!$A$2:$D$8,4,FALSE),"")</x:f>
        <x:v>0.325</x:v>
      </x:c>
      <x:c r="Y49" s="23" t="n">
        <x:f>IFERROR(POWER(P49,$F49/5),"")</x:f>
        <x:v>0.65</x:v>
      </x:c>
      <x:c r="Z49" s="23" t="n">
        <x:f>IFERROR(POWER(Q49,$F49/5),"")</x:f>
        <x:v>0.65</x:v>
      </x:c>
      <x:c r="AA49" s="23" t="n">
        <x:f>IFERROR(POWER(R49,$F49/5),"")</x:f>
        <x:v>0.85</x:v>
      </x:c>
      <x:c r="AB49" s="23" t="n">
        <x:f>IFERROR(POWER(S49,$F49/5),"")</x:f>
        <x:v>0.85</x:v>
      </x:c>
      <x:c r="AC49" s="23" t="n">
        <x:f>IFERROR(POWER(T49,$F49/5),"")</x:f>
        <x:v>0.5</x:v>
      </x:c>
      <x:c r="AD49" s="23" t="n">
        <x:f>IFERROR(POWER(U49,$F49/5),"")</x:f>
        <x:v>0.85</x:v>
      </x:c>
      <x:c r="AE49" s="23" t="n">
        <x:f>IFERROR(POWER(V49,$F49/5),"")</x:f>
        <x:v>0.65</x:v>
      </x:c>
      <x:c r="AF49" s="23" t="n">
        <x:f>IFERROR(POWER(W49,$F49/5),"")</x:f>
        <x:v>0.5</x:v>
      </x:c>
      <x:c r="AG49" s="23" t="n">
        <x:f>IFERROR(POWER(X49,$F49/5),"")</x:f>
        <x:v>0.325</x:v>
      </x:c>
      <x:c r="AH49" s="22" t="str">
        <x:v>Hard problem of consciousness</x:v>
      </x:c>
      <x:c r="AI49" s="20" t="n">
        <x:f>IFERROR(LN(Y49),"")</x:f>
        <x:v>-0.4307829160924542</x:v>
      </x:c>
      <x:c r="AJ49" s="20" t="n">
        <x:f>IFERROR(LN(Z49),"")</x:f>
        <x:v>-0.4307829160924542</x:v>
      </x:c>
      <x:c r="AK49" s="20" t="n">
        <x:f>IFERROR(LN(AA49),"")</x:f>
        <x:v>-0.16251892949777494</x:v>
      </x:c>
      <x:c r="AL49" s="20" t="n">
        <x:f>IFERROR(LN(AB49),"")</x:f>
        <x:v>-0.16251892949777494</x:v>
      </x:c>
      <x:c r="AM49" s="20" t="n">
        <x:f>IFERROR(LN(AC49),"")</x:f>
        <x:v>-0.6931471805599453</x:v>
      </x:c>
      <x:c r="AN49" s="20" t="n">
        <x:f>IFERROR(LN(AD49),"")</x:f>
        <x:v>-0.16251892949777494</x:v>
      </x:c>
      <x:c r="AO49" s="20" t="n">
        <x:f>IFERROR(LN(AE49),"")</x:f>
        <x:v>-0.4307829160924542</x:v>
      </x:c>
      <x:c r="AP49" s="20" t="n">
        <x:f>IFERROR(LN(AF49),"")</x:f>
        <x:v>-0.6931471805599453</x:v>
      </x:c>
      <x:c r="AQ49" s="20" t="n">
        <x:f>IFERROR(LN(AG49),"")</x:f>
        <x:v>-1.1239300966523995</x:v>
      </x:c>
    </x:row>
    <x:row r="50" ht="26.399999618530273" hidden="0" customHeight="1">
      <x:c r="A50" s="22" t="str">
        <x:v>EV047</x:v>
      </x:c>
      <x:c r="B50" s="32"/>
      <x:c r="C50" s="22" t="str">
        <x:v>Subjective experience (qualia) difficult to reduce to brain states</x:v>
      </x:c>
      <x:c r="D50" s="22" t="str">
        <x:v>Consciousness</x:v>
      </x:c>
      <x:c r="E50" s="22" t="str">
        <x:v>Philosophy</x:v>
      </x:c>
      <x:c r="F50" s="33" t="n">
        <x:v>5</x:v>
      </x:c>
      <x:c r="G50" s="22" t="str">
        <x:v>Likely / probable</x:v>
      </x:c>
      <x:c r="H50" s="22" t="str">
        <x:v>Likely / probable</x:v>
      </x:c>
      <x:c r="I50" s="22" t="str">
        <x:v>Highly likely</x:v>
      </x:c>
      <x:c r="J50" s="22" t="str">
        <x:v>Highly likely</x:v>
      </x:c>
      <x:c r="K50" s="22" t="str">
        <x:v>Roughly even chance</x:v>
      </x:c>
      <x:c r="L50" s="22" t="str">
        <x:v>Highly likely</x:v>
      </x:c>
      <x:c r="M50" s="22" t="str">
        <x:v>Likely / probable</x:v>
      </x:c>
      <x:c r="N50" s="22" t="str">
        <x:v>Roughly even chance</x:v>
      </x:c>
      <x:c r="O50" s="22" t="str">
        <x:v>Unlikely</x:v>
      </x:c>
      <x:c r="P50" s="23" t="n">
        <x:f>IFERROR(VLOOKUP(G50,'MI5 Scale'!$A$2:$D$8,4,FALSE),"")</x:f>
        <x:v>0.65</x:v>
      </x:c>
      <x:c r="Q50" s="23" t="n">
        <x:f>IFERROR(VLOOKUP(H50,'MI5 Scale'!$A$2:$D$8,4,FALSE),"")</x:f>
        <x:v>0.65</x:v>
      </x:c>
      <x:c r="R50" s="23" t="n">
        <x:f>IFERROR(VLOOKUP(I50,'MI5 Scale'!$A$2:$D$8,4,FALSE),"")</x:f>
        <x:v>0.85</x:v>
      </x:c>
      <x:c r="S50" s="23" t="n">
        <x:f>IFERROR(VLOOKUP(J50,'MI5 Scale'!$A$2:$D$8,4,FALSE),"")</x:f>
        <x:v>0.85</x:v>
      </x:c>
      <x:c r="T50" s="23" t="n">
        <x:f>IFERROR(VLOOKUP(K50,'MI5 Scale'!$A$2:$D$8,4,FALSE),"")</x:f>
        <x:v>0.5</x:v>
      </x:c>
      <x:c r="U50" s="23" t="n">
        <x:f>IFERROR(VLOOKUP(L50,'MI5 Scale'!$A$2:$D$8,4,FALSE),"")</x:f>
        <x:v>0.85</x:v>
      </x:c>
      <x:c r="V50" s="23" t="n">
        <x:f>IFERROR(VLOOKUP(M50,'MI5 Scale'!$A$2:$D$8,4,FALSE),"")</x:f>
        <x:v>0.65</x:v>
      </x:c>
      <x:c r="W50" s="23" t="n">
        <x:f>IFERROR(VLOOKUP(N50,'MI5 Scale'!$A$2:$D$8,4,FALSE),"")</x:f>
        <x:v>0.5</x:v>
      </x:c>
      <x:c r="X50" s="23" t="n">
        <x:f>IFERROR(VLOOKUP(O50,'MI5 Scale'!$A$2:$D$8,4,FALSE),"")</x:f>
        <x:v>0.325</x:v>
      </x:c>
      <x:c r="Y50" s="23" t="n">
        <x:f>IFERROR(POWER(P50,$F50/5),"")</x:f>
        <x:v>0.65</x:v>
      </x:c>
      <x:c r="Z50" s="23" t="n">
        <x:f>IFERROR(POWER(Q50,$F50/5),"")</x:f>
        <x:v>0.65</x:v>
      </x:c>
      <x:c r="AA50" s="23" t="n">
        <x:f>IFERROR(POWER(R50,$F50/5),"")</x:f>
        <x:v>0.85</x:v>
      </x:c>
      <x:c r="AB50" s="23" t="n">
        <x:f>IFERROR(POWER(S50,$F50/5),"")</x:f>
        <x:v>0.85</x:v>
      </x:c>
      <x:c r="AC50" s="23" t="n">
        <x:f>IFERROR(POWER(T50,$F50/5),"")</x:f>
        <x:v>0.5</x:v>
      </x:c>
      <x:c r="AD50" s="23" t="n">
        <x:f>IFERROR(POWER(U50,$F50/5),"")</x:f>
        <x:v>0.85</x:v>
      </x:c>
      <x:c r="AE50" s="23" t="n">
        <x:f>IFERROR(POWER(V50,$F50/5),"")</x:f>
        <x:v>0.65</x:v>
      </x:c>
      <x:c r="AF50" s="23" t="n">
        <x:f>IFERROR(POWER(W50,$F50/5),"")</x:f>
        <x:v>0.5</x:v>
      </x:c>
      <x:c r="AG50" s="23" t="n">
        <x:f>IFERROR(POWER(X50,$F50/5),"")</x:f>
        <x:v>0.325</x:v>
      </x:c>
      <x:c r="AH50" s="22" t="str">
        <x:v>First-person experience</x:v>
      </x:c>
      <x:c r="AI50" s="20" t="n">
        <x:f>IFERROR(LN(Y50),"")</x:f>
        <x:v>-0.4307829160924542</x:v>
      </x:c>
      <x:c r="AJ50" s="20" t="n">
        <x:f>IFERROR(LN(Z50),"")</x:f>
        <x:v>-0.4307829160924542</x:v>
      </x:c>
      <x:c r="AK50" s="20" t="n">
        <x:f>IFERROR(LN(AA50),"")</x:f>
        <x:v>-0.16251892949777494</x:v>
      </x:c>
      <x:c r="AL50" s="20" t="n">
        <x:f>IFERROR(LN(AB50),"")</x:f>
        <x:v>-0.16251892949777494</x:v>
      </x:c>
      <x:c r="AM50" s="20" t="n">
        <x:f>IFERROR(LN(AC50),"")</x:f>
        <x:v>-0.6931471805599453</x:v>
      </x:c>
      <x:c r="AN50" s="20" t="n">
        <x:f>IFERROR(LN(AD50),"")</x:f>
        <x:v>-0.16251892949777494</x:v>
      </x:c>
      <x:c r="AO50" s="20" t="n">
        <x:f>IFERROR(LN(AE50),"")</x:f>
        <x:v>-0.4307829160924542</x:v>
      </x:c>
      <x:c r="AP50" s="20" t="n">
        <x:f>IFERROR(LN(AF50),"")</x:f>
        <x:v>-0.6931471805599453</x:v>
      </x:c>
      <x:c r="AQ50" s="20" t="n">
        <x:f>IFERROR(LN(AG50),"")</x:f>
        <x:v>-1.1239300966523995</x:v>
      </x:c>
    </x:row>
    <x:row r="51" ht="26.399999618530273" hidden="0" customHeight="1">
      <x:c r="A51" s="22" t="str">
        <x:v>EV048</x:v>
      </x:c>
      <x:c r="B51" s="32"/>
      <x:c r="C51" s="22" t="str">
        <x:v>Rationality and abstract reasoning not easily explained by evolution alone</x:v>
      </x:c>
      <x:c r="D51" s="22" t="str">
        <x:v>Consciousness</x:v>
      </x:c>
      <x:c r="E51" s="22" t="str">
        <x:v>Epistemology</x:v>
      </x:c>
      <x:c r="F51" s="33" t="n">
        <x:v>4</x:v>
      </x:c>
      <x:c r="G51" s="22" t="str">
        <x:v>Likely / probable</x:v>
      </x:c>
      <x:c r="H51" s="22" t="str">
        <x:v>Likely / probable</x:v>
      </x:c>
      <x:c r="I51" s="22" t="str">
        <x:v>Likely / probable</x:v>
      </x:c>
      <x:c r="J51" s="22" t="str">
        <x:v>Highly likely</x:v>
      </x:c>
      <x:c r="K51" s="22" t="str">
        <x:v>Roughly even chance</x:v>
      </x:c>
      <x:c r="L51" s="22" t="str">
        <x:v>Highly likely</x:v>
      </x:c>
      <x:c r="M51" s="22" t="str">
        <x:v>Roughly even chance</x:v>
      </x:c>
      <x:c r="N51" s="22" t="str">
        <x:v>Roughly even chance</x:v>
      </x:c>
      <x:c r="O51" s="22" t="str">
        <x:v>Unlikely</x:v>
      </x:c>
      <x:c r="P51" s="23" t="n">
        <x:f>IFERROR(VLOOKUP(G51,'MI5 Scale'!$A$2:$D$8,4,FALSE),"")</x:f>
        <x:v>0.65</x:v>
      </x:c>
      <x:c r="Q51" s="23" t="n">
        <x:f>IFERROR(VLOOKUP(H51,'MI5 Scale'!$A$2:$D$8,4,FALSE),"")</x:f>
        <x:v>0.65</x:v>
      </x:c>
      <x:c r="R51" s="23" t="n">
        <x:f>IFERROR(VLOOKUP(I51,'MI5 Scale'!$A$2:$D$8,4,FALSE),"")</x:f>
        <x:v>0.65</x:v>
      </x:c>
      <x:c r="S51" s="23" t="n">
        <x:f>IFERROR(VLOOKUP(J51,'MI5 Scale'!$A$2:$D$8,4,FALSE),"")</x:f>
        <x:v>0.85</x:v>
      </x:c>
      <x:c r="T51" s="23" t="n">
        <x:f>IFERROR(VLOOKUP(K51,'MI5 Scale'!$A$2:$D$8,4,FALSE),"")</x:f>
        <x:v>0.5</x:v>
      </x:c>
      <x:c r="U51" s="23" t="n">
        <x:f>IFERROR(VLOOKUP(L51,'MI5 Scale'!$A$2:$D$8,4,FALSE),"")</x:f>
        <x:v>0.85</x:v>
      </x:c>
      <x:c r="V51" s="23" t="n">
        <x:f>IFERROR(VLOOKUP(M51,'MI5 Scale'!$A$2:$D$8,4,FALSE),"")</x:f>
        <x:v>0.5</x:v>
      </x:c>
      <x:c r="W51" s="23" t="n">
        <x:f>IFERROR(VLOOKUP(N51,'MI5 Scale'!$A$2:$D$8,4,FALSE),"")</x:f>
        <x:v>0.5</x:v>
      </x:c>
      <x:c r="X51" s="23" t="n">
        <x:f>IFERROR(VLOOKUP(O51,'MI5 Scale'!$A$2:$D$8,4,FALSE),"")</x:f>
        <x:v>0.325</x:v>
      </x:c>
      <x:c r="Y51" s="23" t="n">
        <x:f>IFERROR(POWER(P51,$F51/5),"")</x:f>
        <x:v>0.7084850415814244</x:v>
      </x:c>
      <x:c r="Z51" s="23" t="n">
        <x:f>IFERROR(POWER(Q51,$F51/5),"")</x:f>
        <x:v>0.7084850415814244</x:v>
      </x:c>
      <x:c r="AA51" s="23" t="n">
        <x:f>IFERROR(POWER(R51,$F51/5),"")</x:f>
        <x:v>0.7084850415814244</x:v>
      </x:c>
      <x:c r="AB51" s="23" t="n">
        <x:f>IFERROR(POWER(S51,$F51/5),"")</x:f>
        <x:v>0.8780821334968424</x:v>
      </x:c>
      <x:c r="AC51" s="23" t="n">
        <x:f>IFERROR(POWER(T51,$F51/5),"")</x:f>
        <x:v>0.5743491774985174</x:v>
      </x:c>
      <x:c r="AD51" s="23" t="n">
        <x:f>IFERROR(POWER(U51,$F51/5),"")</x:f>
        <x:v>0.8780821334968424</x:v>
      </x:c>
      <x:c r="AE51" s="23" t="n">
        <x:f>IFERROR(POWER(V51,$F51/5),"")</x:f>
        <x:v>0.5743491774985174</x:v>
      </x:c>
      <x:c r="AF51" s="23" t="n">
        <x:f>IFERROR(POWER(W51,$F51/5),"")</x:f>
        <x:v>0.5743491774985174</x:v>
      </x:c>
      <x:c r="AG51" s="23" t="n">
        <x:f>IFERROR(POWER(X51,$F51/5),"")</x:f>
        <x:v>0.4069178009022941</x:v>
      </x:c>
      <x:c r="AH51" s="22" t="str">
        <x:v>Reason-tracking issue</x:v>
      </x:c>
      <x:c r="AI51" s="20" t="n">
        <x:f>IFERROR(LN(Y51),"")</x:f>
        <x:v>-0.34462633287396344</x:v>
      </x:c>
      <x:c r="AJ51" s="20" t="n">
        <x:f>IFERROR(LN(Z51),"")</x:f>
        <x:v>-0.34462633287396344</x:v>
      </x:c>
      <x:c r="AK51" s="20" t="n">
        <x:f>IFERROR(LN(AA51),"")</x:f>
        <x:v>-0.34462633287396344</x:v>
      </x:c>
      <x:c r="AL51" s="20" t="n">
        <x:f>IFERROR(LN(AB51),"")</x:f>
        <x:v>-0.13001514359821992</x:v>
      </x:c>
      <x:c r="AM51" s="20" t="n">
        <x:f>IFERROR(LN(AC51),"")</x:f>
        <x:v>-0.5545177444479563</x:v>
      </x:c>
      <x:c r="AN51" s="20" t="n">
        <x:f>IFERROR(LN(AD51),"")</x:f>
        <x:v>-0.13001514359821992</x:v>
      </x:c>
      <x:c r="AO51" s="20" t="n">
        <x:f>IFERROR(LN(AE51),"")</x:f>
        <x:v>-0.5545177444479563</x:v>
      </x:c>
      <x:c r="AP51" s="20" t="n">
        <x:f>IFERROR(LN(AF51),"")</x:f>
        <x:v>-0.5545177444479563</x:v>
      </x:c>
      <x:c r="AQ51" s="20" t="n">
        <x:f>IFERROR(LN(AG51),"")</x:f>
        <x:v>-0.8991440773219196</x:v>
      </x:c>
    </x:row>
    <x:row r="52" ht="26.399999618530273" hidden="0" customHeight="1">
      <x:c r="A52" s="22" t="str">
        <x:v>EV049</x:v>
      </x:c>
      <x:c r="B52" s="32"/>
      <x:c r="C52" s="22" t="str">
        <x:v>Consciousness may be fundamental rather than emergent</x:v>
      </x:c>
      <x:c r="D52" s="22" t="str">
        <x:v>Consciousness</x:v>
      </x:c>
      <x:c r="E52" s="22" t="str">
        <x:v>Metaphysics</x:v>
      </x:c>
      <x:c r="F52" s="33" t="n">
        <x:v>4</x:v>
      </x:c>
      <x:c r="G52" s="22" t="str">
        <x:v>Roughly even chance</x:v>
      </x:c>
      <x:c r="H52" s="22" t="str">
        <x:v>Likely / probable</x:v>
      </x:c>
      <x:c r="I52" s="22" t="str">
        <x:v>Likely / probable</x:v>
      </x:c>
      <x:c r="J52" s="22" t="str">
        <x:v>Likely / probable</x:v>
      </x:c>
      <x:c r="K52" s="22" t="str">
        <x:v>Roughly even chance</x:v>
      </x:c>
      <x:c r="L52" s="22" t="str">
        <x:v>Highly likely</x:v>
      </x:c>
      <x:c r="M52" s="22" t="str">
        <x:v>Likely / probable</x:v>
      </x:c>
      <x:c r="N52" s="22" t="str">
        <x:v>Roughly even chance</x:v>
      </x:c>
      <x:c r="O52" s="22" t="str">
        <x:v>Highly unlikely</x:v>
      </x:c>
      <x:c r="P52" s="23" t="n">
        <x:f>IFERROR(VLOOKUP(G52,'MI5 Scale'!$A$2:$D$8,4,FALSE),"")</x:f>
        <x:v>0.5</x:v>
      </x:c>
      <x:c r="Q52" s="23" t="n">
        <x:f>IFERROR(VLOOKUP(H52,'MI5 Scale'!$A$2:$D$8,4,FALSE),"")</x:f>
        <x:v>0.65</x:v>
      </x:c>
      <x:c r="R52" s="23" t="n">
        <x:f>IFERROR(VLOOKUP(I52,'MI5 Scale'!$A$2:$D$8,4,FALSE),"")</x:f>
        <x:v>0.65</x:v>
      </x:c>
      <x:c r="S52" s="23" t="n">
        <x:f>IFERROR(VLOOKUP(J52,'MI5 Scale'!$A$2:$D$8,4,FALSE),"")</x:f>
        <x:v>0.65</x:v>
      </x:c>
      <x:c r="T52" s="23" t="n">
        <x:f>IFERROR(VLOOKUP(K52,'MI5 Scale'!$A$2:$D$8,4,FALSE),"")</x:f>
        <x:v>0.5</x:v>
      </x:c>
      <x:c r="U52" s="23" t="n">
        <x:f>IFERROR(VLOOKUP(L52,'MI5 Scale'!$A$2:$D$8,4,FALSE),"")</x:f>
        <x:v>0.85</x:v>
      </x:c>
      <x:c r="V52" s="23" t="n">
        <x:f>IFERROR(VLOOKUP(M52,'MI5 Scale'!$A$2:$D$8,4,FALSE),"")</x:f>
        <x:v>0.65</x:v>
      </x:c>
      <x:c r="W52" s="23" t="n">
        <x:f>IFERROR(VLOOKUP(N52,'MI5 Scale'!$A$2:$D$8,4,FALSE),"")</x:f>
        <x:v>0.5</x:v>
      </x:c>
      <x:c r="X52" s="23" t="n">
        <x:f>IFERROR(VLOOKUP(O52,'MI5 Scale'!$A$2:$D$8,4,FALSE),"")</x:f>
        <x:v>0.125</x:v>
      </x:c>
      <x:c r="Y52" s="23" t="n">
        <x:f>IFERROR(POWER(P52,$F52/5),"")</x:f>
        <x:v>0.5743491774985174</x:v>
      </x:c>
      <x:c r="Z52" s="23" t="n">
        <x:f>IFERROR(POWER(Q52,$F52/5),"")</x:f>
        <x:v>0.7084850415814244</x:v>
      </x:c>
      <x:c r="AA52" s="23" t="n">
        <x:f>IFERROR(POWER(R52,$F52/5),"")</x:f>
        <x:v>0.7084850415814244</x:v>
      </x:c>
      <x:c r="AB52" s="23" t="n">
        <x:f>IFERROR(POWER(S52,$F52/5),"")</x:f>
        <x:v>0.7084850415814244</x:v>
      </x:c>
      <x:c r="AC52" s="23" t="n">
        <x:f>IFERROR(POWER(T52,$F52/5),"")</x:f>
        <x:v>0.5743491774985174</x:v>
      </x:c>
      <x:c r="AD52" s="23" t="n">
        <x:f>IFERROR(POWER(U52,$F52/5),"")</x:f>
        <x:v>0.8780821334968424</x:v>
      </x:c>
      <x:c r="AE52" s="23" t="n">
        <x:f>IFERROR(POWER(V52,$F52/5),"")</x:f>
        <x:v>0.7084850415814244</x:v>
      </x:c>
      <x:c r="AF52" s="23" t="n">
        <x:f>IFERROR(POWER(W52,$F52/5),"")</x:f>
        <x:v>0.5743491774985174</x:v>
      </x:c>
      <x:c r="AG52" s="23" t="n">
        <x:f>IFERROR(POWER(X52,$F52/5),"")</x:f>
        <x:v>0.18946457081379975</x:v>
      </x:c>
      <x:c r="AH52" s="22" t="str">
        <x:v>Non-reductive models</x:v>
      </x:c>
      <x:c r="AI52" s="20" t="n">
        <x:f>IFERROR(LN(Y52),"")</x:f>
        <x:v>-0.5545177444479563</x:v>
      </x:c>
      <x:c r="AJ52" s="20" t="n">
        <x:f>IFERROR(LN(Z52),"")</x:f>
        <x:v>-0.34462633287396344</x:v>
      </x:c>
      <x:c r="AK52" s="20" t="n">
        <x:f>IFERROR(LN(AA52),"")</x:f>
        <x:v>-0.34462633287396344</x:v>
      </x:c>
      <x:c r="AL52" s="20" t="n">
        <x:f>IFERROR(LN(AB52),"")</x:f>
        <x:v>-0.34462633287396344</x:v>
      </x:c>
      <x:c r="AM52" s="20" t="n">
        <x:f>IFERROR(LN(AC52),"")</x:f>
        <x:v>-0.5545177444479563</x:v>
      </x:c>
      <x:c r="AN52" s="20" t="n">
        <x:f>IFERROR(LN(AD52),"")</x:f>
        <x:v>-0.13001514359821992</x:v>
      </x:c>
      <x:c r="AO52" s="20" t="n">
        <x:f>IFERROR(LN(AE52),"")</x:f>
        <x:v>-0.34462633287396344</x:v>
      </x:c>
      <x:c r="AP52" s="20" t="n">
        <x:f>IFERROR(LN(AF52),"")</x:f>
        <x:v>-0.5545177444479563</x:v>
      </x:c>
      <x:c r="AQ52" s="20" t="n">
        <x:f>IFERROR(LN(AG52),"")</x:f>
        <x:v>-1.6635532333438687</x:v>
      </x:c>
    </x:row>
    <x:row r="53" ht="15" hidden="0" customHeight="1">
      <x:c r="A53" s="22" t="str">
        <x:v>EV050</x:v>
      </x:c>
      <x:c r="B53" s="32"/>
      <x:c r="C53" s="22" t="str">
        <x:v>Logical laws appear objective and universal</x:v>
      </x:c>
      <x:c r="D53" s="22" t="str">
        <x:v>Metaphysics</x:v>
      </x:c>
      <x:c r="E53" s="22" t="str">
        <x:v>Philosophy</x:v>
      </x:c>
      <x:c r="F53" s="33" t="n">
        <x:v>3</x:v>
      </x:c>
      <x:c r="G53" s="22" t="str">
        <x:v>Likely / probable</x:v>
      </x:c>
      <x:c r="H53" s="22" t="str">
        <x:v>Likely / probable</x:v>
      </x:c>
      <x:c r="I53" s="22" t="str">
        <x:v>Likely / probable</x:v>
      </x:c>
      <x:c r="J53" s="22" t="str">
        <x:v>Highly likely</x:v>
      </x:c>
      <x:c r="K53" s="22" t="str">
        <x:v>Likely / probable</x:v>
      </x:c>
      <x:c r="L53" s="22" t="str">
        <x:v>Likely / probable</x:v>
      </x:c>
      <x:c r="M53" s="22" t="str">
        <x:v>Roughly even chance</x:v>
      </x:c>
      <x:c r="N53" s="22" t="str">
        <x:v>Roughly even chance</x:v>
      </x:c>
      <x:c r="O53" s="22" t="str">
        <x:v>Unlikely</x:v>
      </x:c>
      <x:c r="P53" s="23" t="n">
        <x:f>IFERROR(VLOOKUP(G53,'MI5 Scale'!$A$2:$D$8,4,FALSE),"")</x:f>
        <x:v>0.65</x:v>
      </x:c>
      <x:c r="Q53" s="23" t="n">
        <x:f>IFERROR(VLOOKUP(H53,'MI5 Scale'!$A$2:$D$8,4,FALSE),"")</x:f>
        <x:v>0.65</x:v>
      </x:c>
      <x:c r="R53" s="23" t="n">
        <x:f>IFERROR(VLOOKUP(I53,'MI5 Scale'!$A$2:$D$8,4,FALSE),"")</x:f>
        <x:v>0.65</x:v>
      </x:c>
      <x:c r="S53" s="23" t="n">
        <x:f>IFERROR(VLOOKUP(J53,'MI5 Scale'!$A$2:$D$8,4,FALSE),"")</x:f>
        <x:v>0.85</x:v>
      </x:c>
      <x:c r="T53" s="23" t="n">
        <x:f>IFERROR(VLOOKUP(K53,'MI5 Scale'!$A$2:$D$8,4,FALSE),"")</x:f>
        <x:v>0.65</x:v>
      </x:c>
      <x:c r="U53" s="23" t="n">
        <x:f>IFERROR(VLOOKUP(L53,'MI5 Scale'!$A$2:$D$8,4,FALSE),"")</x:f>
        <x:v>0.65</x:v>
      </x:c>
      <x:c r="V53" s="23" t="n">
        <x:f>IFERROR(VLOOKUP(M53,'MI5 Scale'!$A$2:$D$8,4,FALSE),"")</x:f>
        <x:v>0.5</x:v>
      </x:c>
      <x:c r="W53" s="23" t="n">
        <x:f>IFERROR(VLOOKUP(N53,'MI5 Scale'!$A$2:$D$8,4,FALSE),"")</x:f>
        <x:v>0.5</x:v>
      </x:c>
      <x:c r="X53" s="23" t="n">
        <x:f>IFERROR(VLOOKUP(O53,'MI5 Scale'!$A$2:$D$8,4,FALSE),"")</x:f>
        <x:v>0.325</x:v>
      </x:c>
      <x:c r="Y53" s="23" t="n">
        <x:f>IFERROR(POWER(P53,$F53/5),"")</x:f>
        <x:v>0.7722323909917427</x:v>
      </x:c>
      <x:c r="Z53" s="23" t="n">
        <x:f>IFERROR(POWER(Q53,$F53/5),"")</x:f>
        <x:v>0.7722323909917427</x:v>
      </x:c>
      <x:c r="AA53" s="23" t="n">
        <x:f>IFERROR(POWER(R53,$F53/5),"")</x:f>
        <x:v>0.7722323909917427</x:v>
      </x:c>
      <x:c r="AB53" s="23" t="n">
        <x:f>IFERROR(POWER(S53,$F53/5),"")</x:f>
        <x:v>0.9070920390192547</x:v>
      </x:c>
      <x:c r="AC53" s="23" t="n">
        <x:f>IFERROR(POWER(T53,$F53/5),"")</x:f>
        <x:v>0.7722323909917427</x:v>
      </x:c>
      <x:c r="AD53" s="23" t="n">
        <x:f>IFERROR(POWER(U53,$F53/5),"")</x:f>
        <x:v>0.7722323909917427</x:v>
      </x:c>
      <x:c r="AE53" s="23" t="n">
        <x:f>IFERROR(POWER(V53,$F53/5),"")</x:f>
        <x:v>0.6597539553864471</x:v>
      </x:c>
      <x:c r="AF53" s="23" t="n">
        <x:f>IFERROR(POWER(W53,$F53/5),"")</x:f>
        <x:v>0.6597539553864471</x:v>
      </x:c>
      <x:c r="AG53" s="23" t="n">
        <x:f>IFERROR(POWER(X53,$F53/5),"")</x:f>
        <x:v>0.5094833744343357</x:v>
      </x:c>
      <x:c r="AH53" s="22" t="str">
        <x:v>Grounding of logic</x:v>
      </x:c>
      <x:c r="AI53" s="20" t="n">
        <x:f>IFERROR(LN(Y53),"")</x:f>
        <x:v>-0.2584697496554726</x:v>
      </x:c>
      <x:c r="AJ53" s="20" t="n">
        <x:f>IFERROR(LN(Z53),"")</x:f>
        <x:v>-0.2584697496554726</x:v>
      </x:c>
      <x:c r="AK53" s="20" t="n">
        <x:f>IFERROR(LN(AA53),"")</x:f>
        <x:v>-0.2584697496554726</x:v>
      </x:c>
      <x:c r="AL53" s="20" t="n">
        <x:f>IFERROR(LN(AB53),"")</x:f>
        <x:v>-0.09751135769866495</x:v>
      </x:c>
      <x:c r="AM53" s="20" t="n">
        <x:f>IFERROR(LN(AC53),"")</x:f>
        <x:v>-0.2584697496554726</x:v>
      </x:c>
      <x:c r="AN53" s="20" t="n">
        <x:f>IFERROR(LN(AD53),"")</x:f>
        <x:v>-0.2584697496554726</x:v>
      </x:c>
      <x:c r="AO53" s="20" t="n">
        <x:f>IFERROR(LN(AE53),"")</x:f>
        <x:v>-0.41588830833596724</x:v>
      </x:c>
      <x:c r="AP53" s="20" t="n">
        <x:f>IFERROR(LN(AF53),"")</x:f>
        <x:v>-0.41588830833596724</x:v>
      </x:c>
      <x:c r="AQ53" s="20" t="n">
        <x:f>IFERROR(LN(AG53),"")</x:f>
        <x:v>-0.6743580579914397</x:v>
      </x:c>
    </x:row>
    <x:row r="54" ht="15" hidden="0" customHeight="1">
      <x:c r="A54" s="22" t="str">
        <x:v>EV051</x:v>
      </x:c>
      <x:c r="B54" s="32"/>
      <x:c r="C54" s="22" t="str">
        <x:v>Objective moral intuitions strongly felt across cultures</x:v>
      </x:c>
      <x:c r="D54" s="22" t="str">
        <x:v>Ethics</x:v>
      </x:c>
      <x:c r="E54" s="22" t="str">
        <x:v>Moral Philosophy</x:v>
      </x:c>
      <x:c r="F54" s="33" t="n">
        <x:v>5</x:v>
      </x:c>
      <x:c r="G54" s="22" t="str">
        <x:v>Likely / probable</x:v>
      </x:c>
      <x:c r="H54" s="22" t="str">
        <x:v>Highly likely</x:v>
      </x:c>
      <x:c r="I54" s="22" t="str">
        <x:v>Highly likely</x:v>
      </x:c>
      <x:c r="J54" s="22" t="str">
        <x:v>Highly likely</x:v>
      </x:c>
      <x:c r="K54" s="22" t="str">
        <x:v>Roughly even chance</x:v>
      </x:c>
      <x:c r="L54" s="22" t="str">
        <x:v>Likely / probable</x:v>
      </x:c>
      <x:c r="M54" s="22" t="str">
        <x:v>Likely / probable</x:v>
      </x:c>
      <x:c r="N54" s="22" t="str">
        <x:v>Likely / probable</x:v>
      </x:c>
      <x:c r="O54" s="22" t="str">
        <x:v>Unlikely</x:v>
      </x:c>
      <x:c r="P54" s="23" t="n">
        <x:f>IFERROR(VLOOKUP(G54,'MI5 Scale'!$A$2:$D$8,4,FALSE),"")</x:f>
        <x:v>0.65</x:v>
      </x:c>
      <x:c r="Q54" s="23" t="n">
        <x:f>IFERROR(VLOOKUP(H54,'MI5 Scale'!$A$2:$D$8,4,FALSE),"")</x:f>
        <x:v>0.85</x:v>
      </x:c>
      <x:c r="R54" s="23" t="n">
        <x:f>IFERROR(VLOOKUP(I54,'MI5 Scale'!$A$2:$D$8,4,FALSE),"")</x:f>
        <x:v>0.85</x:v>
      </x:c>
      <x:c r="S54" s="23" t="n">
        <x:f>IFERROR(VLOOKUP(J54,'MI5 Scale'!$A$2:$D$8,4,FALSE),"")</x:f>
        <x:v>0.85</x:v>
      </x:c>
      <x:c r="T54" s="23" t="n">
        <x:f>IFERROR(VLOOKUP(K54,'MI5 Scale'!$A$2:$D$8,4,FALSE),"")</x:f>
        <x:v>0.5</x:v>
      </x:c>
      <x:c r="U54" s="23" t="n">
        <x:f>IFERROR(VLOOKUP(L54,'MI5 Scale'!$A$2:$D$8,4,FALSE),"")</x:f>
        <x:v>0.65</x:v>
      </x:c>
      <x:c r="V54" s="23" t="n">
        <x:f>IFERROR(VLOOKUP(M54,'MI5 Scale'!$A$2:$D$8,4,FALSE),"")</x:f>
        <x:v>0.65</x:v>
      </x:c>
      <x:c r="W54" s="23" t="n">
        <x:f>IFERROR(VLOOKUP(N54,'MI5 Scale'!$A$2:$D$8,4,FALSE),"")</x:f>
        <x:v>0.65</x:v>
      </x:c>
      <x:c r="X54" s="23" t="n">
        <x:f>IFERROR(VLOOKUP(O54,'MI5 Scale'!$A$2:$D$8,4,FALSE),"")</x:f>
        <x:v>0.325</x:v>
      </x:c>
      <x:c r="Y54" s="23" t="n">
        <x:f>IFERROR(POWER(P54,$F54/5),"")</x:f>
        <x:v>0.65</x:v>
      </x:c>
      <x:c r="Z54" s="23" t="n">
        <x:f>IFERROR(POWER(Q54,$F54/5),"")</x:f>
        <x:v>0.85</x:v>
      </x:c>
      <x:c r="AA54" s="23" t="n">
        <x:f>IFERROR(POWER(R54,$F54/5),"")</x:f>
        <x:v>0.85</x:v>
      </x:c>
      <x:c r="AB54" s="23" t="n">
        <x:f>IFERROR(POWER(S54,$F54/5),"")</x:f>
        <x:v>0.85</x:v>
      </x:c>
      <x:c r="AC54" s="23" t="n">
        <x:f>IFERROR(POWER(T54,$F54/5),"")</x:f>
        <x:v>0.5</x:v>
      </x:c>
      <x:c r="AD54" s="23" t="n">
        <x:f>IFERROR(POWER(U54,$F54/5),"")</x:f>
        <x:v>0.65</x:v>
      </x:c>
      <x:c r="AE54" s="23" t="n">
        <x:f>IFERROR(POWER(V54,$F54/5),"")</x:f>
        <x:v>0.65</x:v>
      </x:c>
      <x:c r="AF54" s="23" t="n">
        <x:f>IFERROR(POWER(W54,$F54/5),"")</x:f>
        <x:v>0.65</x:v>
      </x:c>
      <x:c r="AG54" s="23" t="n">
        <x:f>IFERROR(POWER(X54,$F54/5),"")</x:f>
        <x:v>0.325</x:v>
      </x:c>
      <x:c r="AH54" s="22" t="str">
        <x:v>Moral realism pressure</x:v>
      </x:c>
      <x:c r="AI54" s="20" t="n">
        <x:f>IFERROR(LN(Y54),"")</x:f>
        <x:v>-0.4307829160924542</x:v>
      </x:c>
      <x:c r="AJ54" s="20" t="n">
        <x:f>IFERROR(LN(Z54),"")</x:f>
        <x:v>-0.16251892949777494</x:v>
      </x:c>
      <x:c r="AK54" s="20" t="n">
        <x:f>IFERROR(LN(AA54),"")</x:f>
        <x:v>-0.16251892949777494</x:v>
      </x:c>
      <x:c r="AL54" s="20" t="n">
        <x:f>IFERROR(LN(AB54),"")</x:f>
        <x:v>-0.16251892949777494</x:v>
      </x:c>
      <x:c r="AM54" s="20" t="n">
        <x:f>IFERROR(LN(AC54),"")</x:f>
        <x:v>-0.6931471805599453</x:v>
      </x:c>
      <x:c r="AN54" s="20" t="n">
        <x:f>IFERROR(LN(AD54),"")</x:f>
        <x:v>-0.4307829160924542</x:v>
      </x:c>
      <x:c r="AO54" s="20" t="n">
        <x:f>IFERROR(LN(AE54),"")</x:f>
        <x:v>-0.4307829160924542</x:v>
      </x:c>
      <x:c r="AP54" s="20" t="n">
        <x:f>IFERROR(LN(AF54),"")</x:f>
        <x:v>-0.4307829160924542</x:v>
      </x:c>
      <x:c r="AQ54" s="20" t="n">
        <x:f>IFERROR(LN(AG54),"")</x:f>
        <x:v>-1.1239300966523995</x:v>
      </x:c>
    </x:row>
    <x:row r="55" ht="26.399999618530273" hidden="0" customHeight="1">
      <x:c r="A55" s="22" t="str">
        <x:v>EV052</x:v>
      </x:c>
      <x:c r="B55" s="32"/>
      <x:c r="C55" s="22" t="str">
        <x:v>Suffering perceived as objectively bad, not just preference</x:v>
      </x:c>
      <x:c r="D55" s="22" t="str">
        <x:v>Ethics</x:v>
      </x:c>
      <x:c r="E55" s="22" t="str">
        <x:v>Moral Philosophy</x:v>
      </x:c>
      <x:c r="F55" s="33" t="n">
        <x:v>5</x:v>
      </x:c>
      <x:c r="G55" s="22" t="str">
        <x:v>Likely / probable</x:v>
      </x:c>
      <x:c r="H55" s="22" t="str">
        <x:v>Highly likely</x:v>
      </x:c>
      <x:c r="I55" s="22" t="str">
        <x:v>Highly likely</x:v>
      </x:c>
      <x:c r="J55" s="22" t="str">
        <x:v>Highly likely</x:v>
      </x:c>
      <x:c r="K55" s="22" t="str">
        <x:v>Roughly even chance</x:v>
      </x:c>
      <x:c r="L55" s="22" t="str">
        <x:v>Likely / probable</x:v>
      </x:c>
      <x:c r="M55" s="22" t="str">
        <x:v>Likely / probable</x:v>
      </x:c>
      <x:c r="N55" s="22" t="str">
        <x:v>Likely / probable</x:v>
      </x:c>
      <x:c r="O55" s="22" t="str">
        <x:v>Unlikely</x:v>
      </x:c>
      <x:c r="P55" s="23" t="n">
        <x:f>IFERROR(VLOOKUP(G55,'MI5 Scale'!$A$2:$D$8,4,FALSE),"")</x:f>
        <x:v>0.65</x:v>
      </x:c>
      <x:c r="Q55" s="23" t="n">
        <x:f>IFERROR(VLOOKUP(H55,'MI5 Scale'!$A$2:$D$8,4,FALSE),"")</x:f>
        <x:v>0.85</x:v>
      </x:c>
      <x:c r="R55" s="23" t="n">
        <x:f>IFERROR(VLOOKUP(I55,'MI5 Scale'!$A$2:$D$8,4,FALSE),"")</x:f>
        <x:v>0.85</x:v>
      </x:c>
      <x:c r="S55" s="23" t="n">
        <x:f>IFERROR(VLOOKUP(J55,'MI5 Scale'!$A$2:$D$8,4,FALSE),"")</x:f>
        <x:v>0.85</x:v>
      </x:c>
      <x:c r="T55" s="23" t="n">
        <x:f>IFERROR(VLOOKUP(K55,'MI5 Scale'!$A$2:$D$8,4,FALSE),"")</x:f>
        <x:v>0.5</x:v>
      </x:c>
      <x:c r="U55" s="23" t="n">
        <x:f>IFERROR(VLOOKUP(L55,'MI5 Scale'!$A$2:$D$8,4,FALSE),"")</x:f>
        <x:v>0.65</x:v>
      </x:c>
      <x:c r="V55" s="23" t="n">
        <x:f>IFERROR(VLOOKUP(M55,'MI5 Scale'!$A$2:$D$8,4,FALSE),"")</x:f>
        <x:v>0.65</x:v>
      </x:c>
      <x:c r="W55" s="23" t="n">
        <x:f>IFERROR(VLOOKUP(N55,'MI5 Scale'!$A$2:$D$8,4,FALSE),"")</x:f>
        <x:v>0.65</x:v>
      </x:c>
      <x:c r="X55" s="23" t="n">
        <x:f>IFERROR(VLOOKUP(O55,'MI5 Scale'!$A$2:$D$8,4,FALSE),"")</x:f>
        <x:v>0.325</x:v>
      </x:c>
      <x:c r="Y55" s="23" t="n">
        <x:f>IFERROR(POWER(P55,$F55/5),"")</x:f>
        <x:v>0.65</x:v>
      </x:c>
      <x:c r="Z55" s="23" t="n">
        <x:f>IFERROR(POWER(Q55,$F55/5),"")</x:f>
        <x:v>0.85</x:v>
      </x:c>
      <x:c r="AA55" s="23" t="n">
        <x:f>IFERROR(POWER(R55,$F55/5),"")</x:f>
        <x:v>0.85</x:v>
      </x:c>
      <x:c r="AB55" s="23" t="n">
        <x:f>IFERROR(POWER(S55,$F55/5),"")</x:f>
        <x:v>0.85</x:v>
      </x:c>
      <x:c r="AC55" s="23" t="n">
        <x:f>IFERROR(POWER(T55,$F55/5),"")</x:f>
        <x:v>0.5</x:v>
      </x:c>
      <x:c r="AD55" s="23" t="n">
        <x:f>IFERROR(POWER(U55,$F55/5),"")</x:f>
        <x:v>0.65</x:v>
      </x:c>
      <x:c r="AE55" s="23" t="n">
        <x:f>IFERROR(POWER(V55,$F55/5),"")</x:f>
        <x:v>0.65</x:v>
      </x:c>
      <x:c r="AF55" s="23" t="n">
        <x:f>IFERROR(POWER(W55,$F55/5),"")</x:f>
        <x:v>0.65</x:v>
      </x:c>
      <x:c r="AG55" s="23" t="n">
        <x:f>IFERROR(POWER(X55,$F55/5),"")</x:f>
        <x:v>0.325</x:v>
      </x:c>
      <x:c r="AH55" s="22" t="str">
        <x:v>Normative force</x:v>
      </x:c>
      <x:c r="AI55" s="20" t="n">
        <x:f>IFERROR(LN(Y55),"")</x:f>
        <x:v>-0.4307829160924542</x:v>
      </x:c>
      <x:c r="AJ55" s="20" t="n">
        <x:f>IFERROR(LN(Z55),"")</x:f>
        <x:v>-0.16251892949777494</x:v>
      </x:c>
      <x:c r="AK55" s="20" t="n">
        <x:f>IFERROR(LN(AA55),"")</x:f>
        <x:v>-0.16251892949777494</x:v>
      </x:c>
      <x:c r="AL55" s="20" t="n">
        <x:f>IFERROR(LN(AB55),"")</x:f>
        <x:v>-0.16251892949777494</x:v>
      </x:c>
      <x:c r="AM55" s="20" t="n">
        <x:f>IFERROR(LN(AC55),"")</x:f>
        <x:v>-0.6931471805599453</x:v>
      </x:c>
      <x:c r="AN55" s="20" t="n">
        <x:f>IFERROR(LN(AD55),"")</x:f>
        <x:v>-0.4307829160924542</x:v>
      </x:c>
      <x:c r="AO55" s="20" t="n">
        <x:f>IFERROR(LN(AE55),"")</x:f>
        <x:v>-0.4307829160924542</x:v>
      </x:c>
      <x:c r="AP55" s="20" t="n">
        <x:f>IFERROR(LN(AF55),"")</x:f>
        <x:v>-0.4307829160924542</x:v>
      </x:c>
      <x:c r="AQ55" s="20" t="n">
        <x:f>IFERROR(LN(AG55),"")</x:f>
        <x:v>-1.1239300966523995</x:v>
      </x:c>
    </x:row>
    <x:row r="56" ht="15" hidden="0" customHeight="1">
      <x:c r="A56" s="22" t="str">
        <x:v>EV053</x:v>
      </x:c>
      <x:c r="B56" s="32"/>
      <x:c r="C56" s="22" t="str">
        <x:v>Human dignity treated as inherently valuable</x:v>
      </x:c>
      <x:c r="D56" s="22" t="str">
        <x:v>Ethics</x:v>
      </x:c>
      <x:c r="E56" s="22" t="str">
        <x:v>Philosophy</x:v>
      </x:c>
      <x:c r="F56" s="33" t="n">
        <x:v>4</x:v>
      </x:c>
      <x:c r="G56" s="22" t="str">
        <x:v>Likely / probable</x:v>
      </x:c>
      <x:c r="H56" s="22" t="str">
        <x:v>Highly likely</x:v>
      </x:c>
      <x:c r="I56" s="22" t="str">
        <x:v>Highly likely</x:v>
      </x:c>
      <x:c r="J56" s="22" t="str">
        <x:v>Highly likely</x:v>
      </x:c>
      <x:c r="K56" s="22" t="str">
        <x:v>Roughly even chance</x:v>
      </x:c>
      <x:c r="L56" s="22" t="str">
        <x:v>Likely / probable</x:v>
      </x:c>
      <x:c r="M56" s="22" t="str">
        <x:v>Likely / probable</x:v>
      </x:c>
      <x:c r="N56" s="22" t="str">
        <x:v>Likely / probable</x:v>
      </x:c>
      <x:c r="O56" s="22" t="str">
        <x:v>Unlikely</x:v>
      </x:c>
      <x:c r="P56" s="23" t="n">
        <x:f>IFERROR(VLOOKUP(G56,'MI5 Scale'!$A$2:$D$8,4,FALSE),"")</x:f>
        <x:v>0.65</x:v>
      </x:c>
      <x:c r="Q56" s="23" t="n">
        <x:f>IFERROR(VLOOKUP(H56,'MI5 Scale'!$A$2:$D$8,4,FALSE),"")</x:f>
        <x:v>0.85</x:v>
      </x:c>
      <x:c r="R56" s="23" t="n">
        <x:f>IFERROR(VLOOKUP(I56,'MI5 Scale'!$A$2:$D$8,4,FALSE),"")</x:f>
        <x:v>0.85</x:v>
      </x:c>
      <x:c r="S56" s="23" t="n">
        <x:f>IFERROR(VLOOKUP(J56,'MI5 Scale'!$A$2:$D$8,4,FALSE),"")</x:f>
        <x:v>0.85</x:v>
      </x:c>
      <x:c r="T56" s="23" t="n">
        <x:f>IFERROR(VLOOKUP(K56,'MI5 Scale'!$A$2:$D$8,4,FALSE),"")</x:f>
        <x:v>0.5</x:v>
      </x:c>
      <x:c r="U56" s="23" t="n">
        <x:f>IFERROR(VLOOKUP(L56,'MI5 Scale'!$A$2:$D$8,4,FALSE),"")</x:f>
        <x:v>0.65</x:v>
      </x:c>
      <x:c r="V56" s="23" t="n">
        <x:f>IFERROR(VLOOKUP(M56,'MI5 Scale'!$A$2:$D$8,4,FALSE),"")</x:f>
        <x:v>0.65</x:v>
      </x:c>
      <x:c r="W56" s="23" t="n">
        <x:f>IFERROR(VLOOKUP(N56,'MI5 Scale'!$A$2:$D$8,4,FALSE),"")</x:f>
        <x:v>0.65</x:v>
      </x:c>
      <x:c r="X56" s="23" t="n">
        <x:f>IFERROR(VLOOKUP(O56,'MI5 Scale'!$A$2:$D$8,4,FALSE),"")</x:f>
        <x:v>0.325</x:v>
      </x:c>
      <x:c r="Y56" s="23" t="n">
        <x:f>IFERROR(POWER(P56,$F56/5),"")</x:f>
        <x:v>0.7084850415814244</x:v>
      </x:c>
      <x:c r="Z56" s="23" t="n">
        <x:f>IFERROR(POWER(Q56,$F56/5),"")</x:f>
        <x:v>0.8780821334968424</x:v>
      </x:c>
      <x:c r="AA56" s="23" t="n">
        <x:f>IFERROR(POWER(R56,$F56/5),"")</x:f>
        <x:v>0.8780821334968424</x:v>
      </x:c>
      <x:c r="AB56" s="23" t="n">
        <x:f>IFERROR(POWER(S56,$F56/5),"")</x:f>
        <x:v>0.8780821334968424</x:v>
      </x:c>
      <x:c r="AC56" s="23" t="n">
        <x:f>IFERROR(POWER(T56,$F56/5),"")</x:f>
        <x:v>0.5743491774985174</x:v>
      </x:c>
      <x:c r="AD56" s="23" t="n">
        <x:f>IFERROR(POWER(U56,$F56/5),"")</x:f>
        <x:v>0.7084850415814244</x:v>
      </x:c>
      <x:c r="AE56" s="23" t="n">
        <x:f>IFERROR(POWER(V56,$F56/5),"")</x:f>
        <x:v>0.7084850415814244</x:v>
      </x:c>
      <x:c r="AF56" s="23" t="n">
        <x:f>IFERROR(POWER(W56,$F56/5),"")</x:f>
        <x:v>0.7084850415814244</x:v>
      </x:c>
      <x:c r="AG56" s="23" t="n">
        <x:f>IFERROR(POWER(X56,$F56/5),"")</x:f>
        <x:v>0.4069178009022941</x:v>
      </x:c>
      <x:c r="AH56" s="22" t="str">
        <x:v>Non-reductionist ethics</x:v>
      </x:c>
      <x:c r="AI56" s="20" t="n">
        <x:f>IFERROR(LN(Y56),"")</x:f>
        <x:v>-0.34462633287396344</x:v>
      </x:c>
      <x:c r="AJ56" s="20" t="n">
        <x:f>IFERROR(LN(Z56),"")</x:f>
        <x:v>-0.13001514359821992</x:v>
      </x:c>
      <x:c r="AK56" s="20" t="n">
        <x:f>IFERROR(LN(AA56),"")</x:f>
        <x:v>-0.13001514359821992</x:v>
      </x:c>
      <x:c r="AL56" s="20" t="n">
        <x:f>IFERROR(LN(AB56),"")</x:f>
        <x:v>-0.13001514359821992</x:v>
      </x:c>
      <x:c r="AM56" s="20" t="n">
        <x:f>IFERROR(LN(AC56),"")</x:f>
        <x:v>-0.5545177444479563</x:v>
      </x:c>
      <x:c r="AN56" s="20" t="n">
        <x:f>IFERROR(LN(AD56),"")</x:f>
        <x:v>-0.34462633287396344</x:v>
      </x:c>
      <x:c r="AO56" s="20" t="n">
        <x:f>IFERROR(LN(AE56),"")</x:f>
        <x:v>-0.34462633287396344</x:v>
      </x:c>
      <x:c r="AP56" s="20" t="n">
        <x:f>IFERROR(LN(AF56),"")</x:f>
        <x:v>-0.34462633287396344</x:v>
      </x:c>
      <x:c r="AQ56" s="20" t="n">
        <x:f>IFERROR(LN(AG56),"")</x:f>
        <x:v>-0.8991440773219196</x:v>
      </x:c>
    </x:row>
    <x:row r="57" ht="15" hidden="0" customHeight="1">
      <x:c r="A57" s="22" t="str">
        <x:v>EV054</x:v>
      </x:c>
      <x:c r="B57" s="32"/>
      <x:c r="C57" s="22" t="str">
        <x:v>Early Christian belief in resurrection emerged rapidly</x:v>
      </x:c>
      <x:c r="D57" s="22" t="str">
        <x:v>Historical</x:v>
      </x:c>
      <x:c r="E57" s="22" t="str">
        <x:v>History</x:v>
      </x:c>
      <x:c r="F57" s="33" t="n">
        <x:v>4</x:v>
      </x:c>
      <x:c r="G57" s="22" t="str">
        <x:v>Likely / probable</x:v>
      </x:c>
      <x:c r="H57" s="22" t="str">
        <x:v>Likely / probable</x:v>
      </x:c>
      <x:c r="I57" s="22" t="str">
        <x:v>Roughly even chance</x:v>
      </x:c>
      <x:c r="J57" s="22" t="str">
        <x:v>Roughly even chance</x:v>
      </x:c>
      <x:c r="K57" s="22" t="str">
        <x:v>Unlikely</x:v>
      </x:c>
      <x:c r="L57" s="22" t="str">
        <x:v>Unlikely</x:v>
      </x:c>
      <x:c r="M57" s="22" t="str">
        <x:v>Roughly even chance</x:v>
      </x:c>
      <x:c r="N57" s="22" t="str">
        <x:v>Roughly even chance</x:v>
      </x:c>
      <x:c r="O57" s="22" t="str">
        <x:v>Unlikely</x:v>
      </x:c>
      <x:c r="P57" s="23" t="n">
        <x:f>IFERROR(VLOOKUP(G57,'MI5 Scale'!$A$2:$D$8,4,FALSE),"")</x:f>
        <x:v>0.65</x:v>
      </x:c>
      <x:c r="Q57" s="23" t="n">
        <x:f>IFERROR(VLOOKUP(H57,'MI5 Scale'!$A$2:$D$8,4,FALSE),"")</x:f>
        <x:v>0.65</x:v>
      </x:c>
      <x:c r="R57" s="23" t="n">
        <x:f>IFERROR(VLOOKUP(I57,'MI5 Scale'!$A$2:$D$8,4,FALSE),"")</x:f>
        <x:v>0.5</x:v>
      </x:c>
      <x:c r="S57" s="23" t="n">
        <x:f>IFERROR(VLOOKUP(J57,'MI5 Scale'!$A$2:$D$8,4,FALSE),"")</x:f>
        <x:v>0.5</x:v>
      </x:c>
      <x:c r="T57" s="23" t="n">
        <x:f>IFERROR(VLOOKUP(K57,'MI5 Scale'!$A$2:$D$8,4,FALSE),"")</x:f>
        <x:v>0.325</x:v>
      </x:c>
      <x:c r="U57" s="23" t="n">
        <x:f>IFERROR(VLOOKUP(L57,'MI5 Scale'!$A$2:$D$8,4,FALSE),"")</x:f>
        <x:v>0.325</x:v>
      </x:c>
      <x:c r="V57" s="23" t="n">
        <x:f>IFERROR(VLOOKUP(M57,'MI5 Scale'!$A$2:$D$8,4,FALSE),"")</x:f>
        <x:v>0.5</x:v>
      </x:c>
      <x:c r="W57" s="23" t="n">
        <x:f>IFERROR(VLOOKUP(N57,'MI5 Scale'!$A$2:$D$8,4,FALSE),"")</x:f>
        <x:v>0.5</x:v>
      </x:c>
      <x:c r="X57" s="23" t="n">
        <x:f>IFERROR(VLOOKUP(O57,'MI5 Scale'!$A$2:$D$8,4,FALSE),"")</x:f>
        <x:v>0.325</x:v>
      </x:c>
      <x:c r="Y57" s="23" t="n">
        <x:f>IFERROR(POWER(P57,$F57/5),"")</x:f>
        <x:v>0.7084850415814244</x:v>
      </x:c>
      <x:c r="Z57" s="23" t="n">
        <x:f>IFERROR(POWER(Q57,$F57/5),"")</x:f>
        <x:v>0.7084850415814244</x:v>
      </x:c>
      <x:c r="AA57" s="23" t="n">
        <x:f>IFERROR(POWER(R57,$F57/5),"")</x:f>
        <x:v>0.5743491774985174</x:v>
      </x:c>
      <x:c r="AB57" s="23" t="n">
        <x:f>IFERROR(POWER(S57,$F57/5),"")</x:f>
        <x:v>0.5743491774985174</x:v>
      </x:c>
      <x:c r="AC57" s="23" t="n">
        <x:f>IFERROR(POWER(T57,$F57/5),"")</x:f>
        <x:v>0.4069178009022941</x:v>
      </x:c>
      <x:c r="AD57" s="23" t="n">
        <x:f>IFERROR(POWER(U57,$F57/5),"")</x:f>
        <x:v>0.4069178009022941</x:v>
      </x:c>
      <x:c r="AE57" s="23" t="n">
        <x:f>IFERROR(POWER(V57,$F57/5),"")</x:f>
        <x:v>0.5743491774985174</x:v>
      </x:c>
      <x:c r="AF57" s="23" t="n">
        <x:f>IFERROR(POWER(W57,$F57/5),"")</x:f>
        <x:v>0.5743491774985174</x:v>
      </x:c>
      <x:c r="AG57" s="23" t="n">
        <x:f>IFERROR(POWER(X57,$F57/5),"")</x:f>
        <x:v>0.4069178009022941</x:v>
      </x:c>
      <x:c r="AH57" s="22" t="str">
        <x:v>Historical emergence</x:v>
      </x:c>
      <x:c r="AI57" s="20" t="n">
        <x:f>IFERROR(LN(Y57),"")</x:f>
        <x:v>-0.34462633287396344</x:v>
      </x:c>
      <x:c r="AJ57" s="20" t="n">
        <x:f>IFERROR(LN(Z57),"")</x:f>
        <x:v>-0.34462633287396344</x:v>
      </x:c>
      <x:c r="AK57" s="20" t="n">
        <x:f>IFERROR(LN(AA57),"")</x:f>
        <x:v>-0.5545177444479563</x:v>
      </x:c>
      <x:c r="AL57" s="20" t="n">
        <x:f>IFERROR(LN(AB57),"")</x:f>
        <x:v>-0.5545177444479563</x:v>
      </x:c>
      <x:c r="AM57" s="20" t="n">
        <x:f>IFERROR(LN(AC57),"")</x:f>
        <x:v>-0.8991440773219196</x:v>
      </x:c>
      <x:c r="AN57" s="20" t="n">
        <x:f>IFERROR(LN(AD57),"")</x:f>
        <x:v>-0.8991440773219196</x:v>
      </x:c>
      <x:c r="AO57" s="20" t="n">
        <x:f>IFERROR(LN(AE57),"")</x:f>
        <x:v>-0.5545177444479563</x:v>
      </x:c>
      <x:c r="AP57" s="20" t="n">
        <x:f>IFERROR(LN(AF57),"")</x:f>
        <x:v>-0.5545177444479563</x:v>
      </x:c>
      <x:c r="AQ57" s="20" t="n">
        <x:f>IFERROR(LN(AG57),"")</x:f>
        <x:v>-0.8991440773219196</x:v>
      </x:c>
    </x:row>
    <x:row r="58" ht="26.399999618530273" hidden="0" customHeight="1">
      <x:c r="A58" s="22" t="str">
        <x:v>EV055</x:v>
      </x:c>
      <x:c r="B58" s="32"/>
      <x:c r="C58" s="22" t="str">
        <x:v>Disciples’ willingness to suffer for belief requires explanation</x:v>
      </x:c>
      <x:c r="D58" s="22" t="str">
        <x:v>Historical</x:v>
      </x:c>
      <x:c r="E58" s="22" t="str">
        <x:v>History</x:v>
      </x:c>
      <x:c r="F58" s="33" t="n">
        <x:v>4</x:v>
      </x:c>
      <x:c r="G58" s="22" t="str">
        <x:v>Likely / probable</x:v>
      </x:c>
      <x:c r="H58" s="22" t="str">
        <x:v>Roughly even chance</x:v>
      </x:c>
      <x:c r="I58" s="22" t="str">
        <x:v>Roughly even chance</x:v>
      </x:c>
      <x:c r="J58" s="22" t="str">
        <x:v>Roughly even chance</x:v>
      </x:c>
      <x:c r="K58" s="22" t="str">
        <x:v>Unlikely</x:v>
      </x:c>
      <x:c r="L58" s="22" t="str">
        <x:v>Unlikely</x:v>
      </x:c>
      <x:c r="M58" s="22" t="str">
        <x:v>Roughly even chance</x:v>
      </x:c>
      <x:c r="N58" s="22" t="str">
        <x:v>Roughly even chance</x:v>
      </x:c>
      <x:c r="O58" s="22" t="str">
        <x:v>Unlikely</x:v>
      </x:c>
      <x:c r="P58" s="23" t="n">
        <x:f>IFERROR(VLOOKUP(G58,'MI5 Scale'!$A$2:$D$8,4,FALSE),"")</x:f>
        <x:v>0.65</x:v>
      </x:c>
      <x:c r="Q58" s="23" t="n">
        <x:f>IFERROR(VLOOKUP(H58,'MI5 Scale'!$A$2:$D$8,4,FALSE),"")</x:f>
        <x:v>0.5</x:v>
      </x:c>
      <x:c r="R58" s="23" t="n">
        <x:f>IFERROR(VLOOKUP(I58,'MI5 Scale'!$A$2:$D$8,4,FALSE),"")</x:f>
        <x:v>0.5</x:v>
      </x:c>
      <x:c r="S58" s="23" t="n">
        <x:f>IFERROR(VLOOKUP(J58,'MI5 Scale'!$A$2:$D$8,4,FALSE),"")</x:f>
        <x:v>0.5</x:v>
      </x:c>
      <x:c r="T58" s="23" t="n">
        <x:f>IFERROR(VLOOKUP(K58,'MI5 Scale'!$A$2:$D$8,4,FALSE),"")</x:f>
        <x:v>0.325</x:v>
      </x:c>
      <x:c r="U58" s="23" t="n">
        <x:f>IFERROR(VLOOKUP(L58,'MI5 Scale'!$A$2:$D$8,4,FALSE),"")</x:f>
        <x:v>0.325</x:v>
      </x:c>
      <x:c r="V58" s="23" t="n">
        <x:f>IFERROR(VLOOKUP(M58,'MI5 Scale'!$A$2:$D$8,4,FALSE),"")</x:f>
        <x:v>0.5</x:v>
      </x:c>
      <x:c r="W58" s="23" t="n">
        <x:f>IFERROR(VLOOKUP(N58,'MI5 Scale'!$A$2:$D$8,4,FALSE),"")</x:f>
        <x:v>0.5</x:v>
      </x:c>
      <x:c r="X58" s="23" t="n">
        <x:f>IFERROR(VLOOKUP(O58,'MI5 Scale'!$A$2:$D$8,4,FALSE),"")</x:f>
        <x:v>0.325</x:v>
      </x:c>
      <x:c r="Y58" s="23" t="n">
        <x:f>IFERROR(POWER(P58,$F58/5),"")</x:f>
        <x:v>0.7084850415814244</x:v>
      </x:c>
      <x:c r="Z58" s="23" t="n">
        <x:f>IFERROR(POWER(Q58,$F58/5),"")</x:f>
        <x:v>0.5743491774985174</x:v>
      </x:c>
      <x:c r="AA58" s="23" t="n">
        <x:f>IFERROR(POWER(R58,$F58/5),"")</x:f>
        <x:v>0.5743491774985174</x:v>
      </x:c>
      <x:c r="AB58" s="23" t="n">
        <x:f>IFERROR(POWER(S58,$F58/5),"")</x:f>
        <x:v>0.5743491774985174</x:v>
      </x:c>
      <x:c r="AC58" s="23" t="n">
        <x:f>IFERROR(POWER(T58,$F58/5),"")</x:f>
        <x:v>0.4069178009022941</x:v>
      </x:c>
      <x:c r="AD58" s="23" t="n">
        <x:f>IFERROR(POWER(U58,$F58/5),"")</x:f>
        <x:v>0.4069178009022941</x:v>
      </x:c>
      <x:c r="AE58" s="23" t="n">
        <x:f>IFERROR(POWER(V58,$F58/5),"")</x:f>
        <x:v>0.5743491774985174</x:v>
      </x:c>
      <x:c r="AF58" s="23" t="n">
        <x:f>IFERROR(POWER(W58,$F58/5),"")</x:f>
        <x:v>0.5743491774985174</x:v>
      </x:c>
      <x:c r="AG58" s="23" t="n">
        <x:f>IFERROR(POWER(X58,$F58/5),"")</x:f>
        <x:v>0.4069178009022941</x:v>
      </x:c>
      <x:c r="AH58" s="22" t="str">
        <x:v>Sincerity vs truth</x:v>
      </x:c>
      <x:c r="AI58" s="20" t="n">
        <x:f>IFERROR(LN(Y58),"")</x:f>
        <x:v>-0.34462633287396344</x:v>
      </x:c>
      <x:c r="AJ58" s="20" t="n">
        <x:f>IFERROR(LN(Z58),"")</x:f>
        <x:v>-0.5545177444479563</x:v>
      </x:c>
      <x:c r="AK58" s="20" t="n">
        <x:f>IFERROR(LN(AA58),"")</x:f>
        <x:v>-0.5545177444479563</x:v>
      </x:c>
      <x:c r="AL58" s="20" t="n">
        <x:f>IFERROR(LN(AB58),"")</x:f>
        <x:v>-0.5545177444479563</x:v>
      </x:c>
      <x:c r="AM58" s="20" t="n">
        <x:f>IFERROR(LN(AC58),"")</x:f>
        <x:v>-0.8991440773219196</x:v>
      </x:c>
      <x:c r="AN58" s="20" t="n">
        <x:f>IFERROR(LN(AD58),"")</x:f>
        <x:v>-0.8991440773219196</x:v>
      </x:c>
      <x:c r="AO58" s="20" t="n">
        <x:f>IFERROR(LN(AE58),"")</x:f>
        <x:v>-0.5545177444479563</x:v>
      </x:c>
      <x:c r="AP58" s="20" t="n">
        <x:f>IFERROR(LN(AF58),"")</x:f>
        <x:v>-0.5545177444479563</x:v>
      </x:c>
      <x:c r="AQ58" s="20" t="n">
        <x:f>IFERROR(LN(AG58),"")</x:f>
        <x:v>-0.8991440773219196</x:v>
      </x:c>
    </x:row>
    <x:row r="59" ht="15" hidden="0" customHeight="1">
      <x:c r="A59" s="22" t="str">
        <x:v>EV056</x:v>
      </x:c>
      <x:c r="B59" s="32"/>
      <x:c r="C59" s="22" t="str">
        <x:v>Empty tomb tradition difficult to dismiss entirely</x:v>
      </x:c>
      <x:c r="D59" s="22" t="str">
        <x:v>Historical</x:v>
      </x:c>
      <x:c r="E59" s="22" t="str">
        <x:v>History</x:v>
      </x:c>
      <x:c r="F59" s="33" t="n">
        <x:v>3</x:v>
      </x:c>
      <x:c r="G59" s="22" t="str">
        <x:v>Roughly even chance</x:v>
      </x:c>
      <x:c r="H59" s="22" t="str">
        <x:v>Roughly even chance</x:v>
      </x:c>
      <x:c r="I59" s="22" t="str">
        <x:v>Roughly even chance</x:v>
      </x:c>
      <x:c r="J59" s="22" t="str">
        <x:v>Roughly even chance</x:v>
      </x:c>
      <x:c r="K59" s="22" t="str">
        <x:v>Unlikely</x:v>
      </x:c>
      <x:c r="L59" s="22" t="str">
        <x:v>Unlikely</x:v>
      </x:c>
      <x:c r="M59" s="22" t="str">
        <x:v>Roughly even chance</x:v>
      </x:c>
      <x:c r="N59" s="22" t="str">
        <x:v>Roughly even chance</x:v>
      </x:c>
      <x:c r="O59" s="22" t="str">
        <x:v>Unlikely</x:v>
      </x:c>
      <x:c r="P59" s="23" t="n">
        <x:f>IFERROR(VLOOKUP(G59,'MI5 Scale'!$A$2:$D$8,4,FALSE),"")</x:f>
        <x:v>0.5</x:v>
      </x:c>
      <x:c r="Q59" s="23" t="n">
        <x:f>IFERROR(VLOOKUP(H59,'MI5 Scale'!$A$2:$D$8,4,FALSE),"")</x:f>
        <x:v>0.5</x:v>
      </x:c>
      <x:c r="R59" s="23" t="n">
        <x:f>IFERROR(VLOOKUP(I59,'MI5 Scale'!$A$2:$D$8,4,FALSE),"")</x:f>
        <x:v>0.5</x:v>
      </x:c>
      <x:c r="S59" s="23" t="n">
        <x:f>IFERROR(VLOOKUP(J59,'MI5 Scale'!$A$2:$D$8,4,FALSE),"")</x:f>
        <x:v>0.5</x:v>
      </x:c>
      <x:c r="T59" s="23" t="n">
        <x:f>IFERROR(VLOOKUP(K59,'MI5 Scale'!$A$2:$D$8,4,FALSE),"")</x:f>
        <x:v>0.325</x:v>
      </x:c>
      <x:c r="U59" s="23" t="n">
        <x:f>IFERROR(VLOOKUP(L59,'MI5 Scale'!$A$2:$D$8,4,FALSE),"")</x:f>
        <x:v>0.325</x:v>
      </x:c>
      <x:c r="V59" s="23" t="n">
        <x:f>IFERROR(VLOOKUP(M59,'MI5 Scale'!$A$2:$D$8,4,FALSE),"")</x:f>
        <x:v>0.5</x:v>
      </x:c>
      <x:c r="W59" s="23" t="n">
        <x:f>IFERROR(VLOOKUP(N59,'MI5 Scale'!$A$2:$D$8,4,FALSE),"")</x:f>
        <x:v>0.5</x:v>
      </x:c>
      <x:c r="X59" s="23" t="n">
        <x:f>IFERROR(VLOOKUP(O59,'MI5 Scale'!$A$2:$D$8,4,FALSE),"")</x:f>
        <x:v>0.325</x:v>
      </x:c>
      <x:c r="Y59" s="23" t="n">
        <x:f>IFERROR(POWER(P59,$F59/5),"")</x:f>
        <x:v>0.6597539553864471</x:v>
      </x:c>
      <x:c r="Z59" s="23" t="n">
        <x:f>IFERROR(POWER(Q59,$F59/5),"")</x:f>
        <x:v>0.6597539553864471</x:v>
      </x:c>
      <x:c r="AA59" s="23" t="n">
        <x:f>IFERROR(POWER(R59,$F59/5),"")</x:f>
        <x:v>0.6597539553864471</x:v>
      </x:c>
      <x:c r="AB59" s="23" t="n">
        <x:f>IFERROR(POWER(S59,$F59/5),"")</x:f>
        <x:v>0.6597539553864471</x:v>
      </x:c>
      <x:c r="AC59" s="23" t="n">
        <x:f>IFERROR(POWER(T59,$F59/5),"")</x:f>
        <x:v>0.5094833744343357</x:v>
      </x:c>
      <x:c r="AD59" s="23" t="n">
        <x:f>IFERROR(POWER(U59,$F59/5),"")</x:f>
        <x:v>0.5094833744343357</x:v>
      </x:c>
      <x:c r="AE59" s="23" t="n">
        <x:f>IFERROR(POWER(V59,$F59/5),"")</x:f>
        <x:v>0.6597539553864471</x:v>
      </x:c>
      <x:c r="AF59" s="23" t="n">
        <x:f>IFERROR(POWER(W59,$F59/5),"")</x:f>
        <x:v>0.6597539553864471</x:v>
      </x:c>
      <x:c r="AG59" s="23" t="n">
        <x:f>IFERROR(POWER(X59,$F59/5),"")</x:f>
        <x:v>0.5094833744343357</x:v>
      </x:c>
      <x:c r="AH59" s="22" t="str">
        <x:v>Contested evidence</x:v>
      </x:c>
      <x:c r="AI59" s="20" t="n">
        <x:f>IFERROR(LN(Y59),"")</x:f>
        <x:v>-0.41588830833596724</x:v>
      </x:c>
      <x:c r="AJ59" s="20" t="n">
        <x:f>IFERROR(LN(Z59),"")</x:f>
        <x:v>-0.41588830833596724</x:v>
      </x:c>
      <x:c r="AK59" s="20" t="n">
        <x:f>IFERROR(LN(AA59),"")</x:f>
        <x:v>-0.41588830833596724</x:v>
      </x:c>
      <x:c r="AL59" s="20" t="n">
        <x:f>IFERROR(LN(AB59),"")</x:f>
        <x:v>-0.41588830833596724</x:v>
      </x:c>
      <x:c r="AM59" s="20" t="n">
        <x:f>IFERROR(LN(AC59),"")</x:f>
        <x:v>-0.6743580579914397</x:v>
      </x:c>
      <x:c r="AN59" s="20" t="n">
        <x:f>IFERROR(LN(AD59),"")</x:f>
        <x:v>-0.6743580579914397</x:v>
      </x:c>
      <x:c r="AO59" s="20" t="n">
        <x:f>IFERROR(LN(AE59),"")</x:f>
        <x:v>-0.41588830833596724</x:v>
      </x:c>
      <x:c r="AP59" s="20" t="n">
        <x:f>IFERROR(LN(AF59),"")</x:f>
        <x:v>-0.41588830833596724</x:v>
      </x:c>
      <x:c r="AQ59" s="20" t="n">
        <x:f>IFERROR(LN(AG59),"")</x:f>
        <x:v>-0.6743580579914397</x:v>
      </x:c>
    </x:row>
    <x:row r="60" ht="26.399999618530273" hidden="0" customHeight="1">
      <x:c r="A60" s="22" t="str">
        <x:v>EV057</x:v>
      </x:c>
      <x:c r="B60" s="32"/>
      <x:c r="C60" s="22" t="str">
        <x:v>Multiple independent sources reference Jesus’ execution</x:v>
      </x:c>
      <x:c r="D60" s="22" t="str">
        <x:v>Historical</x:v>
      </x:c>
      <x:c r="E60" s="22" t="str">
        <x:v>Ehrman</x:v>
      </x:c>
      <x:c r="F60" s="33" t="n">
        <x:v>3</x:v>
      </x:c>
      <x:c r="G60" s="22" t="str">
        <x:v>Highly likely</x:v>
      </x:c>
      <x:c r="H60" s="22" t="str">
        <x:v>Highly likely</x:v>
      </x:c>
      <x:c r="I60" s="22" t="str">
        <x:v>Highly likely</x:v>
      </x:c>
      <x:c r="J60" s="22" t="str">
        <x:v>Highly likely</x:v>
      </x:c>
      <x:c r="K60" s="22" t="str">
        <x:v>Highly likely</x:v>
      </x:c>
      <x:c r="L60" s="22" t="str">
        <x:v>Highly likely</x:v>
      </x:c>
      <x:c r="M60" s="22" t="str">
        <x:v>Highly likely</x:v>
      </x:c>
      <x:c r="N60" s="22" t="str">
        <x:v>Highly likely</x:v>
      </x:c>
      <x:c r="O60" s="22" t="str">
        <x:v>Highly likely</x:v>
      </x:c>
      <x:c r="P60" s="23" t="n">
        <x:f>IFERROR(VLOOKUP(G60,'MI5 Scale'!$A$2:$D$8,4,FALSE),"")</x:f>
        <x:v>0.85</x:v>
      </x:c>
      <x:c r="Q60" s="23" t="n">
        <x:f>IFERROR(VLOOKUP(H60,'MI5 Scale'!$A$2:$D$8,4,FALSE),"")</x:f>
        <x:v>0.85</x:v>
      </x:c>
      <x:c r="R60" s="23" t="n">
        <x:f>IFERROR(VLOOKUP(I60,'MI5 Scale'!$A$2:$D$8,4,FALSE),"")</x:f>
        <x:v>0.85</x:v>
      </x:c>
      <x:c r="S60" s="23" t="n">
        <x:f>IFERROR(VLOOKUP(J60,'MI5 Scale'!$A$2:$D$8,4,FALSE),"")</x:f>
        <x:v>0.85</x:v>
      </x:c>
      <x:c r="T60" s="23" t="n">
        <x:f>IFERROR(VLOOKUP(K60,'MI5 Scale'!$A$2:$D$8,4,FALSE),"")</x:f>
        <x:v>0.85</x:v>
      </x:c>
      <x:c r="U60" s="23" t="n">
        <x:f>IFERROR(VLOOKUP(L60,'MI5 Scale'!$A$2:$D$8,4,FALSE),"")</x:f>
        <x:v>0.85</x:v>
      </x:c>
      <x:c r="V60" s="23" t="n">
        <x:f>IFERROR(VLOOKUP(M60,'MI5 Scale'!$A$2:$D$8,4,FALSE),"")</x:f>
        <x:v>0.85</x:v>
      </x:c>
      <x:c r="W60" s="23" t="n">
        <x:f>IFERROR(VLOOKUP(N60,'MI5 Scale'!$A$2:$D$8,4,FALSE),"")</x:f>
        <x:v>0.85</x:v>
      </x:c>
      <x:c r="X60" s="23" t="n">
        <x:f>IFERROR(VLOOKUP(O60,'MI5 Scale'!$A$2:$D$8,4,FALSE),"")</x:f>
        <x:v>0.85</x:v>
      </x:c>
      <x:c r="Y60" s="23" t="n">
        <x:f>IFERROR(POWER(P60,$F60/5),"")</x:f>
        <x:v>0.9070920390192547</x:v>
      </x:c>
      <x:c r="Z60" s="23" t="n">
        <x:f>IFERROR(POWER(Q60,$F60/5),"")</x:f>
        <x:v>0.9070920390192547</x:v>
      </x:c>
      <x:c r="AA60" s="23" t="n">
        <x:f>IFERROR(POWER(R60,$F60/5),"")</x:f>
        <x:v>0.9070920390192547</x:v>
      </x:c>
      <x:c r="AB60" s="23" t="n">
        <x:f>IFERROR(POWER(S60,$F60/5),"")</x:f>
        <x:v>0.9070920390192547</x:v>
      </x:c>
      <x:c r="AC60" s="23" t="n">
        <x:f>IFERROR(POWER(T60,$F60/5),"")</x:f>
        <x:v>0.9070920390192547</x:v>
      </x:c>
      <x:c r="AD60" s="23" t="n">
        <x:f>IFERROR(POWER(U60,$F60/5),"")</x:f>
        <x:v>0.9070920390192547</x:v>
      </x:c>
      <x:c r="AE60" s="23" t="n">
        <x:f>IFERROR(POWER(V60,$F60/5),"")</x:f>
        <x:v>0.9070920390192547</x:v>
      </x:c>
      <x:c r="AF60" s="23" t="n">
        <x:f>IFERROR(POWER(W60,$F60/5),"")</x:f>
        <x:v>0.9070920390192547</x:v>
      </x:c>
      <x:c r="AG60" s="23" t="n">
        <x:f>IFERROR(POWER(X60,$F60/5),"")</x:f>
        <x:v>0.9070920390192547</x:v>
      </x:c>
      <x:c r="AH60" s="22" t="str">
        <x:v>Consensus fact</x:v>
      </x:c>
      <x:c r="AI60" s="20" t="n">
        <x:f>IFERROR(LN(Y60),"")</x:f>
        <x:v>-0.09751135769866495</x:v>
      </x:c>
      <x:c r="AJ60" s="20" t="n">
        <x:f>IFERROR(LN(Z60),"")</x:f>
        <x:v>-0.09751135769866495</x:v>
      </x:c>
      <x:c r="AK60" s="20" t="n">
        <x:f>IFERROR(LN(AA60),"")</x:f>
        <x:v>-0.09751135769866495</x:v>
      </x:c>
      <x:c r="AL60" s="20" t="n">
        <x:f>IFERROR(LN(AB60),"")</x:f>
        <x:v>-0.09751135769866495</x:v>
      </x:c>
      <x:c r="AM60" s="20" t="n">
        <x:f>IFERROR(LN(AC60),"")</x:f>
        <x:v>-0.09751135769866495</x:v>
      </x:c>
      <x:c r="AN60" s="20" t="n">
        <x:f>IFERROR(LN(AD60),"")</x:f>
        <x:v>-0.09751135769866495</x:v>
      </x:c>
      <x:c r="AO60" s="20" t="n">
        <x:f>IFERROR(LN(AE60),"")</x:f>
        <x:v>-0.09751135769866495</x:v>
      </x:c>
      <x:c r="AP60" s="20" t="n">
        <x:f>IFERROR(LN(AF60),"")</x:f>
        <x:v>-0.09751135769866495</x:v>
      </x:c>
      <x:c r="AQ60" s="20" t="n">
        <x:f>IFERROR(LN(AG60),"")</x:f>
        <x:v>-0.09751135769866495</x:v>
      </x:c>
    </x:row>
    <x:row r="61" ht="15" hidden="0" customHeight="1">
      <x:c r="A61" s="22" t="str">
        <x:v>EV058</x:v>
      </x:c>
      <x:c r="B61" s="32"/>
      <x:c r="C61" s="22" t="str">
        <x:v>Religious experiences are widespread across cultures</x:v>
      </x:c>
      <x:c r="D61" s="22" t="str">
        <x:v>Experience</x:v>
      </x:c>
      <x:c r="E61" s="22" t="str">
        <x:v>Anthropology</x:v>
      </x:c>
      <x:c r="F61" s="33" t="n">
        <x:v>3</x:v>
      </x:c>
      <x:c r="G61" s="22" t="str">
        <x:v>Likely / probable</x:v>
      </x:c>
      <x:c r="H61" s="22" t="str">
        <x:v>Highly likely</x:v>
      </x:c>
      <x:c r="I61" s="22" t="str">
        <x:v>Likely / probable</x:v>
      </x:c>
      <x:c r="J61" s="22" t="str">
        <x:v>Likely / probable</x:v>
      </x:c>
      <x:c r="K61" s="22" t="str">
        <x:v>Roughly even chance</x:v>
      </x:c>
      <x:c r="L61" s="22" t="str">
        <x:v>Likely / probable</x:v>
      </x:c>
      <x:c r="M61" s="22" t="str">
        <x:v>Highly likely</x:v>
      </x:c>
      <x:c r="N61" s="22" t="str">
        <x:v>Likely / probable</x:v>
      </x:c>
      <x:c r="O61" s="22" t="str">
        <x:v>Roughly even chance</x:v>
      </x:c>
      <x:c r="P61" s="23" t="n">
        <x:f>IFERROR(VLOOKUP(G61,'MI5 Scale'!$A$2:$D$8,4,FALSE),"")</x:f>
        <x:v>0.65</x:v>
      </x:c>
      <x:c r="Q61" s="23" t="n">
        <x:f>IFERROR(VLOOKUP(H61,'MI5 Scale'!$A$2:$D$8,4,FALSE),"")</x:f>
        <x:v>0.85</x:v>
      </x:c>
      <x:c r="R61" s="23" t="n">
        <x:f>IFERROR(VLOOKUP(I61,'MI5 Scale'!$A$2:$D$8,4,FALSE),"")</x:f>
        <x:v>0.65</x:v>
      </x:c>
      <x:c r="S61" s="23" t="n">
        <x:f>IFERROR(VLOOKUP(J61,'MI5 Scale'!$A$2:$D$8,4,FALSE),"")</x:f>
        <x:v>0.65</x:v>
      </x:c>
      <x:c r="T61" s="23" t="n">
        <x:f>IFERROR(VLOOKUP(K61,'MI5 Scale'!$A$2:$D$8,4,FALSE),"")</x:f>
        <x:v>0.5</x:v>
      </x:c>
      <x:c r="U61" s="23" t="n">
        <x:f>IFERROR(VLOOKUP(L61,'MI5 Scale'!$A$2:$D$8,4,FALSE),"")</x:f>
        <x:v>0.65</x:v>
      </x:c>
      <x:c r="V61" s="23" t="n">
        <x:f>IFERROR(VLOOKUP(M61,'MI5 Scale'!$A$2:$D$8,4,FALSE),"")</x:f>
        <x:v>0.85</x:v>
      </x:c>
      <x:c r="W61" s="23" t="n">
        <x:f>IFERROR(VLOOKUP(N61,'MI5 Scale'!$A$2:$D$8,4,FALSE),"")</x:f>
        <x:v>0.65</x:v>
      </x:c>
      <x:c r="X61" s="23" t="n">
        <x:f>IFERROR(VLOOKUP(O61,'MI5 Scale'!$A$2:$D$8,4,FALSE),"")</x:f>
        <x:v>0.5</x:v>
      </x:c>
      <x:c r="Y61" s="23" t="n">
        <x:f>IFERROR(POWER(P61,$F61/5),"")</x:f>
        <x:v>0.7722323909917427</x:v>
      </x:c>
      <x:c r="Z61" s="23" t="n">
        <x:f>IFERROR(POWER(Q61,$F61/5),"")</x:f>
        <x:v>0.9070920390192547</x:v>
      </x:c>
      <x:c r="AA61" s="23" t="n">
        <x:f>IFERROR(POWER(R61,$F61/5),"")</x:f>
        <x:v>0.7722323909917427</x:v>
      </x:c>
      <x:c r="AB61" s="23" t="n">
        <x:f>IFERROR(POWER(S61,$F61/5),"")</x:f>
        <x:v>0.7722323909917427</x:v>
      </x:c>
      <x:c r="AC61" s="23" t="n">
        <x:f>IFERROR(POWER(T61,$F61/5),"")</x:f>
        <x:v>0.6597539553864471</x:v>
      </x:c>
      <x:c r="AD61" s="23" t="n">
        <x:f>IFERROR(POWER(U61,$F61/5),"")</x:f>
        <x:v>0.7722323909917427</x:v>
      </x:c>
      <x:c r="AE61" s="23" t="n">
        <x:f>IFERROR(POWER(V61,$F61/5),"")</x:f>
        <x:v>0.9070920390192547</x:v>
      </x:c>
      <x:c r="AF61" s="23" t="n">
        <x:f>IFERROR(POWER(W61,$F61/5),"")</x:f>
        <x:v>0.7722323909917427</x:v>
      </x:c>
      <x:c r="AG61" s="23" t="n">
        <x:f>IFERROR(POWER(X61,$F61/5),"")</x:f>
        <x:v>0.6597539553864471</x:v>
      </x:c>
      <x:c r="AH61" s="22" t="str">
        <x:v>Cross-cultural data</x:v>
      </x:c>
      <x:c r="AI61" s="20" t="n">
        <x:f>IFERROR(LN(Y61),"")</x:f>
        <x:v>-0.2584697496554726</x:v>
      </x:c>
      <x:c r="AJ61" s="20" t="n">
        <x:f>IFERROR(LN(Z61),"")</x:f>
        <x:v>-0.09751135769866495</x:v>
      </x:c>
      <x:c r="AK61" s="20" t="n">
        <x:f>IFERROR(LN(AA61),"")</x:f>
        <x:v>-0.2584697496554726</x:v>
      </x:c>
      <x:c r="AL61" s="20" t="n">
        <x:f>IFERROR(LN(AB61),"")</x:f>
        <x:v>-0.2584697496554726</x:v>
      </x:c>
      <x:c r="AM61" s="20" t="n">
        <x:f>IFERROR(LN(AC61),"")</x:f>
        <x:v>-0.41588830833596724</x:v>
      </x:c>
      <x:c r="AN61" s="20" t="n">
        <x:f>IFERROR(LN(AD61),"")</x:f>
        <x:v>-0.2584697496554726</x:v>
      </x:c>
      <x:c r="AO61" s="20" t="n">
        <x:f>IFERROR(LN(AE61),"")</x:f>
        <x:v>-0.09751135769866495</x:v>
      </x:c>
      <x:c r="AP61" s="20" t="n">
        <x:f>IFERROR(LN(AF61),"")</x:f>
        <x:v>-0.2584697496554726</x:v>
      </x:c>
      <x:c r="AQ61" s="20" t="n">
        <x:f>IFERROR(LN(AG61),"")</x:f>
        <x:v>-0.41588830833596724</x:v>
      </x:c>
    </x:row>
    <x:row r="62" ht="26.399999618530273" hidden="0" customHeight="1">
      <x:c r="A62" s="22" t="str">
        <x:v>EV059</x:v>
      </x:c>
      <x:c r="B62" s="32"/>
      <x:c r="C62" s="22" t="str">
        <x:v>Experiences often interpreted consistently within traditions</x:v>
      </x:c>
      <x:c r="D62" s="22" t="str">
        <x:v>Experience</x:v>
      </x:c>
      <x:c r="E62" s="22" t="str">
        <x:v>Sociology</x:v>
      </x:c>
      <x:c r="F62" s="33" t="n">
        <x:v>2</x:v>
      </x:c>
      <x:c r="G62" s="22" t="str">
        <x:v>Roughly even chance</x:v>
      </x:c>
      <x:c r="H62" s="22" t="str">
        <x:v>Likely / probable</x:v>
      </x:c>
      <x:c r="I62" s="22" t="str">
        <x:v>Roughly even chance</x:v>
      </x:c>
      <x:c r="J62" s="22" t="str">
        <x:v>Roughly even chance</x:v>
      </x:c>
      <x:c r="K62" s="22" t="str">
        <x:v>Roughly even chance</x:v>
      </x:c>
      <x:c r="L62" s="22" t="str">
        <x:v>Roughly even chance</x:v>
      </x:c>
      <x:c r="M62" s="22" t="str">
        <x:v>Likely / probable</x:v>
      </x:c>
      <x:c r="N62" s="22" t="str">
        <x:v>Likely / probable</x:v>
      </x:c>
      <x:c r="O62" s="22" t="str">
        <x:v>Roughly even chance</x:v>
      </x:c>
      <x:c r="P62" s="23" t="n">
        <x:f>IFERROR(VLOOKUP(G62,'MI5 Scale'!$A$2:$D$8,4,FALSE),"")</x:f>
        <x:v>0.5</x:v>
      </x:c>
      <x:c r="Q62" s="23" t="n">
        <x:f>IFERROR(VLOOKUP(H62,'MI5 Scale'!$A$2:$D$8,4,FALSE),"")</x:f>
        <x:v>0.65</x:v>
      </x:c>
      <x:c r="R62" s="23" t="n">
        <x:f>IFERROR(VLOOKUP(I62,'MI5 Scale'!$A$2:$D$8,4,FALSE),"")</x:f>
        <x:v>0.5</x:v>
      </x:c>
      <x:c r="S62" s="23" t="n">
        <x:f>IFERROR(VLOOKUP(J62,'MI5 Scale'!$A$2:$D$8,4,FALSE),"")</x:f>
        <x:v>0.5</x:v>
      </x:c>
      <x:c r="T62" s="23" t="n">
        <x:f>IFERROR(VLOOKUP(K62,'MI5 Scale'!$A$2:$D$8,4,FALSE),"")</x:f>
        <x:v>0.5</x:v>
      </x:c>
      <x:c r="U62" s="23" t="n">
        <x:f>IFERROR(VLOOKUP(L62,'MI5 Scale'!$A$2:$D$8,4,FALSE),"")</x:f>
        <x:v>0.5</x:v>
      </x:c>
      <x:c r="V62" s="23" t="n">
        <x:f>IFERROR(VLOOKUP(M62,'MI5 Scale'!$A$2:$D$8,4,FALSE),"")</x:f>
        <x:v>0.65</x:v>
      </x:c>
      <x:c r="W62" s="23" t="n">
        <x:f>IFERROR(VLOOKUP(N62,'MI5 Scale'!$A$2:$D$8,4,FALSE),"")</x:f>
        <x:v>0.65</x:v>
      </x:c>
      <x:c r="X62" s="23" t="n">
        <x:f>IFERROR(VLOOKUP(O62,'MI5 Scale'!$A$2:$D$8,4,FALSE),"")</x:f>
        <x:v>0.5</x:v>
      </x:c>
      <x:c r="Y62" s="23" t="n">
        <x:f>IFERROR(POWER(P62,$F62/5),"")</x:f>
        <x:v>0.757858283255199</x:v>
      </x:c>
      <x:c r="Z62" s="23" t="n">
        <x:f>IFERROR(POWER(Q62,$F62/5),"")</x:f>
        <x:v>0.8417155348343195</x:v>
      </x:c>
      <x:c r="AA62" s="23" t="n">
        <x:f>IFERROR(POWER(R62,$F62/5),"")</x:f>
        <x:v>0.757858283255199</x:v>
      </x:c>
      <x:c r="AB62" s="23" t="n">
        <x:f>IFERROR(POWER(S62,$F62/5),"")</x:f>
        <x:v>0.757858283255199</x:v>
      </x:c>
      <x:c r="AC62" s="23" t="n">
        <x:f>IFERROR(POWER(T62,$F62/5),"")</x:f>
        <x:v>0.757858283255199</x:v>
      </x:c>
      <x:c r="AD62" s="23" t="n">
        <x:f>IFERROR(POWER(U62,$F62/5),"")</x:f>
        <x:v>0.757858283255199</x:v>
      </x:c>
      <x:c r="AE62" s="23" t="n">
        <x:f>IFERROR(POWER(V62,$F62/5),"")</x:f>
        <x:v>0.8417155348343195</x:v>
      </x:c>
      <x:c r="AF62" s="23" t="n">
        <x:f>IFERROR(POWER(W62,$F62/5),"")</x:f>
        <x:v>0.8417155348343195</x:v>
      </x:c>
      <x:c r="AG62" s="23" t="n">
        <x:f>IFERROR(POWER(X62,$F62/5),"")</x:f>
        <x:v>0.757858283255199</x:v>
      </x:c>
      <x:c r="AH62" s="22" t="str">
        <x:v>Pattern formation</x:v>
      </x:c>
      <x:c r="AI62" s="20" t="n">
        <x:f>IFERROR(LN(Y62),"")</x:f>
        <x:v>-0.27725887222397816</x:v>
      </x:c>
      <x:c r="AJ62" s="20" t="n">
        <x:f>IFERROR(LN(Z62),"")</x:f>
        <x:v>-0.17231316643698166</x:v>
      </x:c>
      <x:c r="AK62" s="20" t="n">
        <x:f>IFERROR(LN(AA62),"")</x:f>
        <x:v>-0.27725887222397816</x:v>
      </x:c>
      <x:c r="AL62" s="20" t="n">
        <x:f>IFERROR(LN(AB62),"")</x:f>
        <x:v>-0.27725887222397816</x:v>
      </x:c>
      <x:c r="AM62" s="20" t="n">
        <x:f>IFERROR(LN(AC62),"")</x:f>
        <x:v>-0.27725887222397816</x:v>
      </x:c>
      <x:c r="AN62" s="20" t="n">
        <x:f>IFERROR(LN(AD62),"")</x:f>
        <x:v>-0.27725887222397816</x:v>
      </x:c>
      <x:c r="AO62" s="20" t="n">
        <x:f>IFERROR(LN(AE62),"")</x:f>
        <x:v>-0.17231316643698166</x:v>
      </x:c>
      <x:c r="AP62" s="20" t="n">
        <x:f>IFERROR(LN(AF62),"")</x:f>
        <x:v>-0.17231316643698166</x:v>
      </x:c>
      <x:c r="AQ62" s="20" t="n">
        <x:f>IFERROR(LN(AG62),"")</x:f>
        <x:v>-0.27725887222397816</x:v>
      </x:c>
    </x:row>
    <x:row r="63" ht="15" hidden="0" customHeight="1">
      <x:c r="A63" s="22" t="str">
        <x:v>EV060</x:v>
      </x:c>
      <x:c r="B63" s="32"/>
      <x:c r="C63" s="22" t="str">
        <x:v>Transformative effects of spiritual experiences are real</x:v>
      </x:c>
      <x:c r="D63" s="22" t="str">
        <x:v>Experience</x:v>
      </x:c>
      <x:c r="E63" s="22" t="str">
        <x:v>Psychology</x:v>
      </x:c>
      <x:c r="F63" s="33" t="n">
        <x:v>3</x:v>
      </x:c>
      <x:c r="G63" s="22" t="str">
        <x:v>Likely / probable</x:v>
      </x:c>
      <x:c r="H63" s="22" t="str">
        <x:v>Highly likely</x:v>
      </x:c>
      <x:c r="I63" s="22" t="str">
        <x:v>Likely / probable</x:v>
      </x:c>
      <x:c r="J63" s="22" t="str">
        <x:v>Likely / probable</x:v>
      </x:c>
      <x:c r="K63" s="22" t="str">
        <x:v>Roughly even chance</x:v>
      </x:c>
      <x:c r="L63" s="22" t="str">
        <x:v>Likely / probable</x:v>
      </x:c>
      <x:c r="M63" s="22" t="str">
        <x:v>Highly likely</x:v>
      </x:c>
      <x:c r="N63" s="22" t="str">
        <x:v>Highly likely</x:v>
      </x:c>
      <x:c r="O63" s="22" t="str">
        <x:v>Roughly even chance</x:v>
      </x:c>
      <x:c r="P63" s="23" t="n">
        <x:f>IFERROR(VLOOKUP(G63,'MI5 Scale'!$A$2:$D$8,4,FALSE),"")</x:f>
        <x:v>0.65</x:v>
      </x:c>
      <x:c r="Q63" s="23" t="n">
        <x:f>IFERROR(VLOOKUP(H63,'MI5 Scale'!$A$2:$D$8,4,FALSE),"")</x:f>
        <x:v>0.85</x:v>
      </x:c>
      <x:c r="R63" s="23" t="n">
        <x:f>IFERROR(VLOOKUP(I63,'MI5 Scale'!$A$2:$D$8,4,FALSE),"")</x:f>
        <x:v>0.65</x:v>
      </x:c>
      <x:c r="S63" s="23" t="n">
        <x:f>IFERROR(VLOOKUP(J63,'MI5 Scale'!$A$2:$D$8,4,FALSE),"")</x:f>
        <x:v>0.65</x:v>
      </x:c>
      <x:c r="T63" s="23" t="n">
        <x:f>IFERROR(VLOOKUP(K63,'MI5 Scale'!$A$2:$D$8,4,FALSE),"")</x:f>
        <x:v>0.5</x:v>
      </x:c>
      <x:c r="U63" s="23" t="n">
        <x:f>IFERROR(VLOOKUP(L63,'MI5 Scale'!$A$2:$D$8,4,FALSE),"")</x:f>
        <x:v>0.65</x:v>
      </x:c>
      <x:c r="V63" s="23" t="n">
        <x:f>IFERROR(VLOOKUP(M63,'MI5 Scale'!$A$2:$D$8,4,FALSE),"")</x:f>
        <x:v>0.85</x:v>
      </x:c>
      <x:c r="W63" s="23" t="n">
        <x:f>IFERROR(VLOOKUP(N63,'MI5 Scale'!$A$2:$D$8,4,FALSE),"")</x:f>
        <x:v>0.85</x:v>
      </x:c>
      <x:c r="X63" s="23" t="n">
        <x:f>IFERROR(VLOOKUP(O63,'MI5 Scale'!$A$2:$D$8,4,FALSE),"")</x:f>
        <x:v>0.5</x:v>
      </x:c>
      <x:c r="Y63" s="23" t="n">
        <x:f>IFERROR(POWER(P63,$F63/5),"")</x:f>
        <x:v>0.7722323909917427</x:v>
      </x:c>
      <x:c r="Z63" s="23" t="n">
        <x:f>IFERROR(POWER(Q63,$F63/5),"")</x:f>
        <x:v>0.9070920390192547</x:v>
      </x:c>
      <x:c r="AA63" s="23" t="n">
        <x:f>IFERROR(POWER(R63,$F63/5),"")</x:f>
        <x:v>0.7722323909917427</x:v>
      </x:c>
      <x:c r="AB63" s="23" t="n">
        <x:f>IFERROR(POWER(S63,$F63/5),"")</x:f>
        <x:v>0.7722323909917427</x:v>
      </x:c>
      <x:c r="AC63" s="23" t="n">
        <x:f>IFERROR(POWER(T63,$F63/5),"")</x:f>
        <x:v>0.6597539553864471</x:v>
      </x:c>
      <x:c r="AD63" s="23" t="n">
        <x:f>IFERROR(POWER(U63,$F63/5),"")</x:f>
        <x:v>0.7722323909917427</x:v>
      </x:c>
      <x:c r="AE63" s="23" t="n">
        <x:f>IFERROR(POWER(V63,$F63/5),"")</x:f>
        <x:v>0.9070920390192547</x:v>
      </x:c>
      <x:c r="AF63" s="23" t="n">
        <x:f>IFERROR(POWER(W63,$F63/5),"")</x:f>
        <x:v>0.9070920390192547</x:v>
      </x:c>
      <x:c r="AG63" s="23" t="n">
        <x:f>IFERROR(POWER(X63,$F63/5),"")</x:f>
        <x:v>0.6597539553864471</x:v>
      </x:c>
      <x:c r="AH63" s="22" t="str">
        <x:v>Behavioral impact</x:v>
      </x:c>
      <x:c r="AI63" s="20" t="n">
        <x:f>IFERROR(LN(Y63),"")</x:f>
        <x:v>-0.2584697496554726</x:v>
      </x:c>
      <x:c r="AJ63" s="20" t="n">
        <x:f>IFERROR(LN(Z63),"")</x:f>
        <x:v>-0.09751135769866495</x:v>
      </x:c>
      <x:c r="AK63" s="20" t="n">
        <x:f>IFERROR(LN(AA63),"")</x:f>
        <x:v>-0.2584697496554726</x:v>
      </x:c>
      <x:c r="AL63" s="20" t="n">
        <x:f>IFERROR(LN(AB63),"")</x:f>
        <x:v>-0.2584697496554726</x:v>
      </x:c>
      <x:c r="AM63" s="20" t="n">
        <x:f>IFERROR(LN(AC63),"")</x:f>
        <x:v>-0.41588830833596724</x:v>
      </x:c>
      <x:c r="AN63" s="20" t="n">
        <x:f>IFERROR(LN(AD63),"")</x:f>
        <x:v>-0.2584697496554726</x:v>
      </x:c>
      <x:c r="AO63" s="20" t="n">
        <x:f>IFERROR(LN(AE63),"")</x:f>
        <x:v>-0.09751135769866495</x:v>
      </x:c>
      <x:c r="AP63" s="20" t="n">
        <x:f>IFERROR(LN(AF63),"")</x:f>
        <x:v>-0.09751135769866495</x:v>
      </x:c>
      <x:c r="AQ63" s="20" t="n">
        <x:f>IFERROR(LN(AG63),"")</x:f>
        <x:v>-0.41588830833596724</x:v>
      </x:c>
    </x:row>
    <x:row r="64" ht="15" hidden="0" customHeight="1">
      <x:c r="A64" s="22" t="str">
        <x:v>EV061</x:v>
      </x:c>
      <x:c r="B64" s="32"/>
      <x:c r="C64" s="22" t="str">
        <x:v>Mathematics and abstract truths appear non-physical</x:v>
      </x:c>
      <x:c r="D64" s="22" t="str">
        <x:v>Metaphysics</x:v>
      </x:c>
      <x:c r="E64" s="22" t="str">
        <x:v>Philosophy</x:v>
      </x:c>
      <x:c r="F64" s="33" t="n">
        <x:v>3</x:v>
      </x:c>
      <x:c r="G64" s="22" t="str">
        <x:v>Likely / probable</x:v>
      </x:c>
      <x:c r="H64" s="22" t="str">
        <x:v>Likely / probable</x:v>
      </x:c>
      <x:c r="I64" s="22" t="str">
        <x:v>Likely / probable</x:v>
      </x:c>
      <x:c r="J64" s="22" t="str">
        <x:v>Highly likely</x:v>
      </x:c>
      <x:c r="K64" s="22" t="str">
        <x:v>Likely / probable</x:v>
      </x:c>
      <x:c r="L64" s="22" t="str">
        <x:v>Highly likely</x:v>
      </x:c>
      <x:c r="M64" s="22" t="str">
        <x:v>Roughly even chance</x:v>
      </x:c>
      <x:c r="N64" s="22" t="str">
        <x:v>Roughly even chance</x:v>
      </x:c>
      <x:c r="O64" s="22" t="str">
        <x:v>Unlikely</x:v>
      </x:c>
      <x:c r="P64" s="23" t="n">
        <x:f>IFERROR(VLOOKUP(G64,'MI5 Scale'!$A$2:$D$8,4,FALSE),"")</x:f>
        <x:v>0.65</x:v>
      </x:c>
      <x:c r="Q64" s="23" t="n">
        <x:f>IFERROR(VLOOKUP(H64,'MI5 Scale'!$A$2:$D$8,4,FALSE),"")</x:f>
        <x:v>0.65</x:v>
      </x:c>
      <x:c r="R64" s="23" t="n">
        <x:f>IFERROR(VLOOKUP(I64,'MI5 Scale'!$A$2:$D$8,4,FALSE),"")</x:f>
        <x:v>0.65</x:v>
      </x:c>
      <x:c r="S64" s="23" t="n">
        <x:f>IFERROR(VLOOKUP(J64,'MI5 Scale'!$A$2:$D$8,4,FALSE),"")</x:f>
        <x:v>0.85</x:v>
      </x:c>
      <x:c r="T64" s="23" t="n">
        <x:f>IFERROR(VLOOKUP(K64,'MI5 Scale'!$A$2:$D$8,4,FALSE),"")</x:f>
        <x:v>0.65</x:v>
      </x:c>
      <x:c r="U64" s="23" t="n">
        <x:f>IFERROR(VLOOKUP(L64,'MI5 Scale'!$A$2:$D$8,4,FALSE),"")</x:f>
        <x:v>0.85</x:v>
      </x:c>
      <x:c r="V64" s="23" t="n">
        <x:f>IFERROR(VLOOKUP(M64,'MI5 Scale'!$A$2:$D$8,4,FALSE),"")</x:f>
        <x:v>0.5</x:v>
      </x:c>
      <x:c r="W64" s="23" t="n">
        <x:f>IFERROR(VLOOKUP(N64,'MI5 Scale'!$A$2:$D$8,4,FALSE),"")</x:f>
        <x:v>0.5</x:v>
      </x:c>
      <x:c r="X64" s="23" t="n">
        <x:f>IFERROR(VLOOKUP(O64,'MI5 Scale'!$A$2:$D$8,4,FALSE),"")</x:f>
        <x:v>0.325</x:v>
      </x:c>
      <x:c r="Y64" s="23" t="n">
        <x:f>IFERROR(POWER(P64,$F64/5),"")</x:f>
        <x:v>0.7722323909917427</x:v>
      </x:c>
      <x:c r="Z64" s="23" t="n">
        <x:f>IFERROR(POWER(Q64,$F64/5),"")</x:f>
        <x:v>0.7722323909917427</x:v>
      </x:c>
      <x:c r="AA64" s="23" t="n">
        <x:f>IFERROR(POWER(R64,$F64/5),"")</x:f>
        <x:v>0.7722323909917427</x:v>
      </x:c>
      <x:c r="AB64" s="23" t="n">
        <x:f>IFERROR(POWER(S64,$F64/5),"")</x:f>
        <x:v>0.9070920390192547</x:v>
      </x:c>
      <x:c r="AC64" s="23" t="n">
        <x:f>IFERROR(POWER(T64,$F64/5),"")</x:f>
        <x:v>0.7722323909917427</x:v>
      </x:c>
      <x:c r="AD64" s="23" t="n">
        <x:f>IFERROR(POWER(U64,$F64/5),"")</x:f>
        <x:v>0.9070920390192547</x:v>
      </x:c>
      <x:c r="AE64" s="23" t="n">
        <x:f>IFERROR(POWER(V64,$F64/5),"")</x:f>
        <x:v>0.6597539553864471</x:v>
      </x:c>
      <x:c r="AF64" s="23" t="n">
        <x:f>IFERROR(POWER(W64,$F64/5),"")</x:f>
        <x:v>0.6597539553864471</x:v>
      </x:c>
      <x:c r="AG64" s="23" t="n">
        <x:f>IFERROR(POWER(X64,$F64/5),"")</x:f>
        <x:v>0.5094833744343357</x:v>
      </x:c>
      <x:c r="AH64" s="22" t="str">
        <x:v>Abstract objects</x:v>
      </x:c>
      <x:c r="AI64" s="20" t="n">
        <x:f>IFERROR(LN(Y64),"")</x:f>
        <x:v>-0.2584697496554726</x:v>
      </x:c>
      <x:c r="AJ64" s="20" t="n">
        <x:f>IFERROR(LN(Z64),"")</x:f>
        <x:v>-0.2584697496554726</x:v>
      </x:c>
      <x:c r="AK64" s="20" t="n">
        <x:f>IFERROR(LN(AA64),"")</x:f>
        <x:v>-0.2584697496554726</x:v>
      </x:c>
      <x:c r="AL64" s="20" t="n">
        <x:f>IFERROR(LN(AB64),"")</x:f>
        <x:v>-0.09751135769866495</x:v>
      </x:c>
      <x:c r="AM64" s="20" t="n">
        <x:f>IFERROR(LN(AC64),"")</x:f>
        <x:v>-0.2584697496554726</x:v>
      </x:c>
      <x:c r="AN64" s="20" t="n">
        <x:f>IFERROR(LN(AD64),"")</x:f>
        <x:v>-0.09751135769866495</x:v>
      </x:c>
      <x:c r="AO64" s="20" t="n">
        <x:f>IFERROR(LN(AE64),"")</x:f>
        <x:v>-0.41588830833596724</x:v>
      </x:c>
      <x:c r="AP64" s="20" t="n">
        <x:f>IFERROR(LN(AF64),"")</x:f>
        <x:v>-0.41588830833596724</x:v>
      </x:c>
      <x:c r="AQ64" s="20" t="n">
        <x:f>IFERROR(LN(AG64),"")</x:f>
        <x:v>-0.6743580579914397</x:v>
      </x:c>
    </x:row>
    <x:row r="65" ht="15" hidden="0" customHeight="1">
      <x:c r="A65" s="22" t="str">
        <x:v>EV062</x:v>
      </x:c>
      <x:c r="B65" s="32"/>
      <x:c r="C65" s="22" t="str">
        <x:v>Universe exhibits intelligible order and structure</x:v>
      </x:c>
      <x:c r="D65" s="22" t="str">
        <x:v>Metaphysics</x:v>
      </x:c>
      <x:c r="E65" s="22" t="str">
        <x:v>Philosophy</x:v>
      </x:c>
      <x:c r="F65" s="33" t="n">
        <x:v>3</x:v>
      </x:c>
      <x:c r="G65" s="22" t="str">
        <x:v>Likely / probable</x:v>
      </x:c>
      <x:c r="H65" s="22" t="str">
        <x:v>Likely / probable</x:v>
      </x:c>
      <x:c r="I65" s="22" t="str">
        <x:v>Likely / probable</x:v>
      </x:c>
      <x:c r="J65" s="22" t="str">
        <x:v>Highly likely</x:v>
      </x:c>
      <x:c r="K65" s="22" t="str">
        <x:v>Likely / probable</x:v>
      </x:c>
      <x:c r="L65" s="22" t="str">
        <x:v>Roughly even chance</x:v>
      </x:c>
      <x:c r="M65" s="22" t="str">
        <x:v>Roughly even chance</x:v>
      </x:c>
      <x:c r="N65" s="22" t="str">
        <x:v>Roughly even chance</x:v>
      </x:c>
      <x:c r="O65" s="22" t="str">
        <x:v>Roughly even chance</x:v>
      </x:c>
      <x:c r="P65" s="23" t="n">
        <x:f>IFERROR(VLOOKUP(G65,'MI5 Scale'!$A$2:$D$8,4,FALSE),"")</x:f>
        <x:v>0.65</x:v>
      </x:c>
      <x:c r="Q65" s="23" t="n">
        <x:f>IFERROR(VLOOKUP(H65,'MI5 Scale'!$A$2:$D$8,4,FALSE),"")</x:f>
        <x:v>0.65</x:v>
      </x:c>
      <x:c r="R65" s="23" t="n">
        <x:f>IFERROR(VLOOKUP(I65,'MI5 Scale'!$A$2:$D$8,4,FALSE),"")</x:f>
        <x:v>0.65</x:v>
      </x:c>
      <x:c r="S65" s="23" t="n">
        <x:f>IFERROR(VLOOKUP(J65,'MI5 Scale'!$A$2:$D$8,4,FALSE),"")</x:f>
        <x:v>0.85</x:v>
      </x:c>
      <x:c r="T65" s="23" t="n">
        <x:f>IFERROR(VLOOKUP(K65,'MI5 Scale'!$A$2:$D$8,4,FALSE),"")</x:f>
        <x:v>0.65</x:v>
      </x:c>
      <x:c r="U65" s="23" t="n">
        <x:f>IFERROR(VLOOKUP(L65,'MI5 Scale'!$A$2:$D$8,4,FALSE),"")</x:f>
        <x:v>0.5</x:v>
      </x:c>
      <x:c r="V65" s="23" t="n">
        <x:f>IFERROR(VLOOKUP(M65,'MI5 Scale'!$A$2:$D$8,4,FALSE),"")</x:f>
        <x:v>0.5</x:v>
      </x:c>
      <x:c r="W65" s="23" t="n">
        <x:f>IFERROR(VLOOKUP(N65,'MI5 Scale'!$A$2:$D$8,4,FALSE),"")</x:f>
        <x:v>0.5</x:v>
      </x:c>
      <x:c r="X65" s="23" t="n">
        <x:f>IFERROR(VLOOKUP(O65,'MI5 Scale'!$A$2:$D$8,4,FALSE),"")</x:f>
        <x:v>0.5</x:v>
      </x:c>
      <x:c r="Y65" s="23" t="n">
        <x:f>IFERROR(POWER(P65,$F65/5),"")</x:f>
        <x:v>0.7722323909917427</x:v>
      </x:c>
      <x:c r="Z65" s="23" t="n">
        <x:f>IFERROR(POWER(Q65,$F65/5),"")</x:f>
        <x:v>0.7722323909917427</x:v>
      </x:c>
      <x:c r="AA65" s="23" t="n">
        <x:f>IFERROR(POWER(R65,$F65/5),"")</x:f>
        <x:v>0.7722323909917427</x:v>
      </x:c>
      <x:c r="AB65" s="23" t="n">
        <x:f>IFERROR(POWER(S65,$F65/5),"")</x:f>
        <x:v>0.9070920390192547</x:v>
      </x:c>
      <x:c r="AC65" s="23" t="n">
        <x:f>IFERROR(POWER(T65,$F65/5),"")</x:f>
        <x:v>0.7722323909917427</x:v>
      </x:c>
      <x:c r="AD65" s="23" t="n">
        <x:f>IFERROR(POWER(U65,$F65/5),"")</x:f>
        <x:v>0.6597539553864471</x:v>
      </x:c>
      <x:c r="AE65" s="23" t="n">
        <x:f>IFERROR(POWER(V65,$F65/5),"")</x:f>
        <x:v>0.6597539553864471</x:v>
      </x:c>
      <x:c r="AF65" s="23" t="n">
        <x:f>IFERROR(POWER(W65,$F65/5),"")</x:f>
        <x:v>0.6597539553864471</x:v>
      </x:c>
      <x:c r="AG65" s="23" t="n">
        <x:f>IFERROR(POWER(X65,$F65/5),"")</x:f>
        <x:v>0.6597539553864471</x:v>
      </x:c>
      <x:c r="AH65" s="22" t="str">
        <x:v>Order vs brute fact</x:v>
      </x:c>
      <x:c r="AI65" s="20" t="n">
        <x:f>IFERROR(LN(Y65),"")</x:f>
        <x:v>-0.2584697496554726</x:v>
      </x:c>
      <x:c r="AJ65" s="20" t="n">
        <x:f>IFERROR(LN(Z65),"")</x:f>
        <x:v>-0.2584697496554726</x:v>
      </x:c>
      <x:c r="AK65" s="20" t="n">
        <x:f>IFERROR(LN(AA65),"")</x:f>
        <x:v>-0.2584697496554726</x:v>
      </x:c>
      <x:c r="AL65" s="20" t="n">
        <x:f>IFERROR(LN(AB65),"")</x:f>
        <x:v>-0.09751135769866495</x:v>
      </x:c>
      <x:c r="AM65" s="20" t="n">
        <x:f>IFERROR(LN(AC65),"")</x:f>
        <x:v>-0.2584697496554726</x:v>
      </x:c>
      <x:c r="AN65" s="20" t="n">
        <x:f>IFERROR(LN(AD65),"")</x:f>
        <x:v>-0.41588830833596724</x:v>
      </x:c>
      <x:c r="AO65" s="20" t="n">
        <x:f>IFERROR(LN(AE65),"")</x:f>
        <x:v>-0.41588830833596724</x:v>
      </x:c>
      <x:c r="AP65" s="20" t="n">
        <x:f>IFERROR(LN(AF65),"")</x:f>
        <x:v>-0.41588830833596724</x:v>
      </x:c>
      <x:c r="AQ65" s="20" t="n">
        <x:f>IFERROR(LN(AG65),"")</x:f>
        <x:v>-0.41588830833596724</x:v>
      </x:c>
    </x:row>
    <x:row r="66" ht="26.399999618530273" hidden="0" customHeight="1">
      <x:c r="A66" s="22" t="str">
        <x:v>EV063</x:v>
      </x:c>
      <x:c r="B66" s="32"/>
      <x:c r="C66" s="22" t="str">
        <x:v>Fine-tuning of physical constants raises explanatory questions</x:v>
      </x:c>
      <x:c r="D66" s="22" t="str">
        <x:v>Metaphysics</x:v>
      </x:c>
      <x:c r="E66" s="22" t="str">
        <x:v>Cosmology</x:v>
      </x:c>
      <x:c r="F66" s="33" t="n">
        <x:v>2</x:v>
      </x:c>
      <x:c r="G66" s="22" t="str">
        <x:v>Roughly even chance</x:v>
      </x:c>
      <x:c r="H66" s="22" t="str">
        <x:v>Roughly even chance</x:v>
      </x:c>
      <x:c r="I66" s="22" t="str">
        <x:v>Roughly even chance</x:v>
      </x:c>
      <x:c r="J66" s="22" t="str">
        <x:v>Likely / probable</x:v>
      </x:c>
      <x:c r="K66" s="22" t="str">
        <x:v>Likely / probable</x:v>
      </x:c>
      <x:c r="L66" s="22" t="str">
        <x:v>Roughly even chance</x:v>
      </x:c>
      <x:c r="M66" s="22" t="str">
        <x:v>Roughly even chance</x:v>
      </x:c>
      <x:c r="N66" s="22" t="str">
        <x:v>Roughly even chance</x:v>
      </x:c>
      <x:c r="O66" s="22" t="str">
        <x:v>Roughly even chance</x:v>
      </x:c>
      <x:c r="P66" s="23" t="n">
        <x:f>IFERROR(VLOOKUP(G66,'MI5 Scale'!$A$2:$D$8,4,FALSE),"")</x:f>
        <x:v>0.5</x:v>
      </x:c>
      <x:c r="Q66" s="23" t="n">
        <x:f>IFERROR(VLOOKUP(H66,'MI5 Scale'!$A$2:$D$8,4,FALSE),"")</x:f>
        <x:v>0.5</x:v>
      </x:c>
      <x:c r="R66" s="23" t="n">
        <x:f>IFERROR(VLOOKUP(I66,'MI5 Scale'!$A$2:$D$8,4,FALSE),"")</x:f>
        <x:v>0.5</x:v>
      </x:c>
      <x:c r="S66" s="23" t="n">
        <x:f>IFERROR(VLOOKUP(J66,'MI5 Scale'!$A$2:$D$8,4,FALSE),"")</x:f>
        <x:v>0.65</x:v>
      </x:c>
      <x:c r="T66" s="23" t="n">
        <x:f>IFERROR(VLOOKUP(K66,'MI5 Scale'!$A$2:$D$8,4,FALSE),"")</x:f>
        <x:v>0.65</x:v>
      </x:c>
      <x:c r="U66" s="23" t="n">
        <x:f>IFERROR(VLOOKUP(L66,'MI5 Scale'!$A$2:$D$8,4,FALSE),"")</x:f>
        <x:v>0.5</x:v>
      </x:c>
      <x:c r="V66" s="23" t="n">
        <x:f>IFERROR(VLOOKUP(M66,'MI5 Scale'!$A$2:$D$8,4,FALSE),"")</x:f>
        <x:v>0.5</x:v>
      </x:c>
      <x:c r="W66" s="23" t="n">
        <x:f>IFERROR(VLOOKUP(N66,'MI5 Scale'!$A$2:$D$8,4,FALSE),"")</x:f>
        <x:v>0.5</x:v>
      </x:c>
      <x:c r="X66" s="23" t="n">
        <x:f>IFERROR(VLOOKUP(O66,'MI5 Scale'!$A$2:$D$8,4,FALSE),"")</x:f>
        <x:v>0.5</x:v>
      </x:c>
      <x:c r="Y66" s="23" t="n">
        <x:f>IFERROR(POWER(P66,$F66/5),"")</x:f>
        <x:v>0.757858283255199</x:v>
      </x:c>
      <x:c r="Z66" s="23" t="n">
        <x:f>IFERROR(POWER(Q66,$F66/5),"")</x:f>
        <x:v>0.757858283255199</x:v>
      </x:c>
      <x:c r="AA66" s="23" t="n">
        <x:f>IFERROR(POWER(R66,$F66/5),"")</x:f>
        <x:v>0.757858283255199</x:v>
      </x:c>
      <x:c r="AB66" s="23" t="n">
        <x:f>IFERROR(POWER(S66,$F66/5),"")</x:f>
        <x:v>0.8417155348343195</x:v>
      </x:c>
      <x:c r="AC66" s="23" t="n">
        <x:f>IFERROR(POWER(T66,$F66/5),"")</x:f>
        <x:v>0.8417155348343195</x:v>
      </x:c>
      <x:c r="AD66" s="23" t="n">
        <x:f>IFERROR(POWER(U66,$F66/5),"")</x:f>
        <x:v>0.757858283255199</x:v>
      </x:c>
      <x:c r="AE66" s="23" t="n">
        <x:f>IFERROR(POWER(V66,$F66/5),"")</x:f>
        <x:v>0.757858283255199</x:v>
      </x:c>
      <x:c r="AF66" s="23" t="n">
        <x:f>IFERROR(POWER(W66,$F66/5),"")</x:f>
        <x:v>0.757858283255199</x:v>
      </x:c>
      <x:c r="AG66" s="23" t="n">
        <x:f>IFERROR(POWER(X66,$F66/5),"")</x:f>
        <x:v>0.757858283255199</x:v>
      </x:c>
      <x:c r="AH66" s="22" t="str">
        <x:v>Contested but relevant</x:v>
      </x:c>
      <x:c r="AI66" s="20" t="n">
        <x:f>IFERROR(LN(Y66),"")</x:f>
        <x:v>-0.27725887222397816</x:v>
      </x:c>
      <x:c r="AJ66" s="20" t="n">
        <x:f>IFERROR(LN(Z66),"")</x:f>
        <x:v>-0.27725887222397816</x:v>
      </x:c>
      <x:c r="AK66" s="20" t="n">
        <x:f>IFERROR(LN(AA66),"")</x:f>
        <x:v>-0.27725887222397816</x:v>
      </x:c>
      <x:c r="AL66" s="20" t="n">
        <x:f>IFERROR(LN(AB66),"")</x:f>
        <x:v>-0.17231316643698166</x:v>
      </x:c>
      <x:c r="AM66" s="20" t="n">
        <x:f>IFERROR(LN(AC66),"")</x:f>
        <x:v>-0.17231316643698166</x:v>
      </x:c>
      <x:c r="AN66" s="20" t="n">
        <x:f>IFERROR(LN(AD66),"")</x:f>
        <x:v>-0.27725887222397816</x:v>
      </x:c>
      <x:c r="AO66" s="20" t="n">
        <x:f>IFERROR(LN(AE66),"")</x:f>
        <x:v>-0.27725887222397816</x:v>
      </x:c>
      <x:c r="AP66" s="20" t="n">
        <x:f>IFERROR(LN(AF66),"")</x:f>
        <x:v>-0.27725887222397816</x:v>
      </x:c>
      <x:c r="AQ66" s="20" t="n">
        <x:f>IFERROR(LN(AG66),"")</x:f>
        <x:v>-0.27725887222397816</x:v>
      </x:c>
    </x:row>
    <x:row r="67" ht="15" hidden="0" customHeight="1">
      <x:c r="A67" s="22" t="str">
        <x:v>EV064</x:v>
      </x:c>
      <x:c r="B67" s="32"/>
      <x:c r="C67" s="22" t="str">
        <x:v>Personal identity persists despite physical change</x:v>
      </x:c>
      <x:c r="D67" s="22" t="str">
        <x:v>Consciousness</x:v>
      </x:c>
      <x:c r="E67" s="22" t="str">
        <x:v>Philosophy</x:v>
      </x:c>
      <x:c r="F67" s="33" t="n">
        <x:v>3</x:v>
      </x:c>
      <x:c r="G67" s="22" t="str">
        <x:v>Roughly even chance</x:v>
      </x:c>
      <x:c r="H67" s="22" t="str">
        <x:v>Roughly even chance</x:v>
      </x:c>
      <x:c r="I67" s="22" t="str">
        <x:v>Likely / probable</x:v>
      </x:c>
      <x:c r="J67" s="22" t="str">
        <x:v>Likely / probable</x:v>
      </x:c>
      <x:c r="K67" s="22" t="str">
        <x:v>Roughly even chance</x:v>
      </x:c>
      <x:c r="L67" s="22" t="str">
        <x:v>Likely / probable</x:v>
      </x:c>
      <x:c r="M67" s="22" t="str">
        <x:v>Likely / probable</x:v>
      </x:c>
      <x:c r="N67" s="22" t="str">
        <x:v>Roughly even chance</x:v>
      </x:c>
      <x:c r="O67" s="22" t="str">
        <x:v>Unlikely</x:v>
      </x:c>
      <x:c r="P67" s="23" t="n">
        <x:f>IFERROR(VLOOKUP(G67,'MI5 Scale'!$A$2:$D$8,4,FALSE),"")</x:f>
        <x:v>0.5</x:v>
      </x:c>
      <x:c r="Q67" s="23" t="n">
        <x:f>IFERROR(VLOOKUP(H67,'MI5 Scale'!$A$2:$D$8,4,FALSE),"")</x:f>
        <x:v>0.5</x:v>
      </x:c>
      <x:c r="R67" s="23" t="n">
        <x:f>IFERROR(VLOOKUP(I67,'MI5 Scale'!$A$2:$D$8,4,FALSE),"")</x:f>
        <x:v>0.65</x:v>
      </x:c>
      <x:c r="S67" s="23" t="n">
        <x:f>IFERROR(VLOOKUP(J67,'MI5 Scale'!$A$2:$D$8,4,FALSE),"")</x:f>
        <x:v>0.65</x:v>
      </x:c>
      <x:c r="T67" s="23" t="n">
        <x:f>IFERROR(VLOOKUP(K67,'MI5 Scale'!$A$2:$D$8,4,FALSE),"")</x:f>
        <x:v>0.5</x:v>
      </x:c>
      <x:c r="U67" s="23" t="n">
        <x:f>IFERROR(VLOOKUP(L67,'MI5 Scale'!$A$2:$D$8,4,FALSE),"")</x:f>
        <x:v>0.65</x:v>
      </x:c>
      <x:c r="V67" s="23" t="n">
        <x:f>IFERROR(VLOOKUP(M67,'MI5 Scale'!$A$2:$D$8,4,FALSE),"")</x:f>
        <x:v>0.65</x:v>
      </x:c>
      <x:c r="W67" s="23" t="n">
        <x:f>IFERROR(VLOOKUP(N67,'MI5 Scale'!$A$2:$D$8,4,FALSE),"")</x:f>
        <x:v>0.5</x:v>
      </x:c>
      <x:c r="X67" s="23" t="n">
        <x:f>IFERROR(VLOOKUP(O67,'MI5 Scale'!$A$2:$D$8,4,FALSE),"")</x:f>
        <x:v>0.325</x:v>
      </x:c>
      <x:c r="Y67" s="23" t="n">
        <x:f>IFERROR(POWER(P67,$F67/5),"")</x:f>
        <x:v>0.6597539553864471</x:v>
      </x:c>
      <x:c r="Z67" s="23" t="n">
        <x:f>IFERROR(POWER(Q67,$F67/5),"")</x:f>
        <x:v>0.6597539553864471</x:v>
      </x:c>
      <x:c r="AA67" s="23" t="n">
        <x:f>IFERROR(POWER(R67,$F67/5),"")</x:f>
        <x:v>0.7722323909917427</x:v>
      </x:c>
      <x:c r="AB67" s="23" t="n">
        <x:f>IFERROR(POWER(S67,$F67/5),"")</x:f>
        <x:v>0.7722323909917427</x:v>
      </x:c>
      <x:c r="AC67" s="23" t="n">
        <x:f>IFERROR(POWER(T67,$F67/5),"")</x:f>
        <x:v>0.6597539553864471</x:v>
      </x:c>
      <x:c r="AD67" s="23" t="n">
        <x:f>IFERROR(POWER(U67,$F67/5),"")</x:f>
        <x:v>0.7722323909917427</x:v>
      </x:c>
      <x:c r="AE67" s="23" t="n">
        <x:f>IFERROR(POWER(V67,$F67/5),"")</x:f>
        <x:v>0.7722323909917427</x:v>
      </x:c>
      <x:c r="AF67" s="23" t="n">
        <x:f>IFERROR(POWER(W67,$F67/5),"")</x:f>
        <x:v>0.6597539553864471</x:v>
      </x:c>
      <x:c r="AG67" s="23" t="n">
        <x:f>IFERROR(POWER(X67,$F67/5),"")</x:f>
        <x:v>0.5094833744343357</x:v>
      </x:c>
      <x:c r="AH67" s="22" t="str">
        <x:v>Self continuity</x:v>
      </x:c>
      <x:c r="AI67" s="20" t="n">
        <x:f>IFERROR(LN(Y67),"")</x:f>
        <x:v>-0.41588830833596724</x:v>
      </x:c>
      <x:c r="AJ67" s="20" t="n">
        <x:f>IFERROR(LN(Z67),"")</x:f>
        <x:v>-0.41588830833596724</x:v>
      </x:c>
      <x:c r="AK67" s="20" t="n">
        <x:f>IFERROR(LN(AA67),"")</x:f>
        <x:v>-0.2584697496554726</x:v>
      </x:c>
      <x:c r="AL67" s="20" t="n">
        <x:f>IFERROR(LN(AB67),"")</x:f>
        <x:v>-0.2584697496554726</x:v>
      </x:c>
      <x:c r="AM67" s="20" t="n">
        <x:f>IFERROR(LN(AC67),"")</x:f>
        <x:v>-0.41588830833596724</x:v>
      </x:c>
      <x:c r="AN67" s="20" t="n">
        <x:f>IFERROR(LN(AD67),"")</x:f>
        <x:v>-0.2584697496554726</x:v>
      </x:c>
      <x:c r="AO67" s="20" t="n">
        <x:f>IFERROR(LN(AE67),"")</x:f>
        <x:v>-0.2584697496554726</x:v>
      </x:c>
      <x:c r="AP67" s="20" t="n">
        <x:f>IFERROR(LN(AF67),"")</x:f>
        <x:v>-0.41588830833596724</x:v>
      </x:c>
      <x:c r="AQ67" s="20" t="n">
        <x:f>IFERROR(LN(AG67),"")</x:f>
        <x:v>-0.6743580579914397</x:v>
      </x:c>
    </x:row>
    <x:row r="68" ht="15" hidden="0" customHeight="1">
      <x:c r="A68" s="22" t="str">
        <x:v>EV065</x:v>
      </x:c>
      <x:c r="B68" s="32"/>
      <x:c r="C68" s="22" t="str">
        <x:v>Free will experience conflicts with strict determinism</x:v>
      </x:c>
      <x:c r="D68" s="22" t="str">
        <x:v>Consciousness</x:v>
      </x:c>
      <x:c r="E68" s="22" t="str">
        <x:v>Philosophy</x:v>
      </x:c>
      <x:c r="F68" s="33" t="n">
        <x:v>4</x:v>
      </x:c>
      <x:c r="G68" s="22" t="str">
        <x:v>Likely / probable</x:v>
      </x:c>
      <x:c r="H68" s="22" t="str">
        <x:v>Likely / probable</x:v>
      </x:c>
      <x:c r="I68" s="22" t="str">
        <x:v>Highly likely</x:v>
      </x:c>
      <x:c r="J68" s="22" t="str">
        <x:v>Likely / probable</x:v>
      </x:c>
      <x:c r="K68" s="22" t="str">
        <x:v>Roughly even chance</x:v>
      </x:c>
      <x:c r="L68" s="22" t="str">
        <x:v>Highly likely</x:v>
      </x:c>
      <x:c r="M68" s="22" t="str">
        <x:v>Likely / probable</x:v>
      </x:c>
      <x:c r="N68" s="22" t="str">
        <x:v>Roughly even chance</x:v>
      </x:c>
      <x:c r="O68" s="22" t="str">
        <x:v>Unlikely</x:v>
      </x:c>
      <x:c r="P68" s="23" t="n">
        <x:f>IFERROR(VLOOKUP(G68,'MI5 Scale'!$A$2:$D$8,4,FALSE),"")</x:f>
        <x:v>0.65</x:v>
      </x:c>
      <x:c r="Q68" s="23" t="n">
        <x:f>IFERROR(VLOOKUP(H68,'MI5 Scale'!$A$2:$D$8,4,FALSE),"")</x:f>
        <x:v>0.65</x:v>
      </x:c>
      <x:c r="R68" s="23" t="n">
        <x:f>IFERROR(VLOOKUP(I68,'MI5 Scale'!$A$2:$D$8,4,FALSE),"")</x:f>
        <x:v>0.85</x:v>
      </x:c>
      <x:c r="S68" s="23" t="n">
        <x:f>IFERROR(VLOOKUP(J68,'MI5 Scale'!$A$2:$D$8,4,FALSE),"")</x:f>
        <x:v>0.65</x:v>
      </x:c>
      <x:c r="T68" s="23" t="n">
        <x:f>IFERROR(VLOOKUP(K68,'MI5 Scale'!$A$2:$D$8,4,FALSE),"")</x:f>
        <x:v>0.5</x:v>
      </x:c>
      <x:c r="U68" s="23" t="n">
        <x:f>IFERROR(VLOOKUP(L68,'MI5 Scale'!$A$2:$D$8,4,FALSE),"")</x:f>
        <x:v>0.85</x:v>
      </x:c>
      <x:c r="V68" s="23" t="n">
        <x:f>IFERROR(VLOOKUP(M68,'MI5 Scale'!$A$2:$D$8,4,FALSE),"")</x:f>
        <x:v>0.65</x:v>
      </x:c>
      <x:c r="W68" s="23" t="n">
        <x:f>IFERROR(VLOOKUP(N68,'MI5 Scale'!$A$2:$D$8,4,FALSE),"")</x:f>
        <x:v>0.5</x:v>
      </x:c>
      <x:c r="X68" s="23" t="n">
        <x:f>IFERROR(VLOOKUP(O68,'MI5 Scale'!$A$2:$D$8,4,FALSE),"")</x:f>
        <x:v>0.325</x:v>
      </x:c>
      <x:c r="Y68" s="23" t="n">
        <x:f>IFERROR(POWER(P68,$F68/5),"")</x:f>
        <x:v>0.7084850415814244</x:v>
      </x:c>
      <x:c r="Z68" s="23" t="n">
        <x:f>IFERROR(POWER(Q68,$F68/5),"")</x:f>
        <x:v>0.7084850415814244</x:v>
      </x:c>
      <x:c r="AA68" s="23" t="n">
        <x:f>IFERROR(POWER(R68,$F68/5),"")</x:f>
        <x:v>0.8780821334968424</x:v>
      </x:c>
      <x:c r="AB68" s="23" t="n">
        <x:f>IFERROR(POWER(S68,$F68/5),"")</x:f>
        <x:v>0.7084850415814244</x:v>
      </x:c>
      <x:c r="AC68" s="23" t="n">
        <x:f>IFERROR(POWER(T68,$F68/5),"")</x:f>
        <x:v>0.5743491774985174</x:v>
      </x:c>
      <x:c r="AD68" s="23" t="n">
        <x:f>IFERROR(POWER(U68,$F68/5),"")</x:f>
        <x:v>0.8780821334968424</x:v>
      </x:c>
      <x:c r="AE68" s="23" t="n">
        <x:f>IFERROR(POWER(V68,$F68/5),"")</x:f>
        <x:v>0.7084850415814244</x:v>
      </x:c>
      <x:c r="AF68" s="23" t="n">
        <x:f>IFERROR(POWER(W68,$F68/5),"")</x:f>
        <x:v>0.5743491774985174</x:v>
      </x:c>
      <x:c r="AG68" s="23" t="n">
        <x:f>IFERROR(POWER(X68,$F68/5),"")</x:f>
        <x:v>0.4069178009022941</x:v>
      </x:c>
      <x:c r="AH68" s="22" t="str">
        <x:v>Agency tension</x:v>
      </x:c>
      <x:c r="AI68" s="20" t="n">
        <x:f>IFERROR(LN(Y68),"")</x:f>
        <x:v>-0.34462633287396344</x:v>
      </x:c>
      <x:c r="AJ68" s="20" t="n">
        <x:f>IFERROR(LN(Z68),"")</x:f>
        <x:v>-0.34462633287396344</x:v>
      </x:c>
      <x:c r="AK68" s="20" t="n">
        <x:f>IFERROR(LN(AA68),"")</x:f>
        <x:v>-0.13001514359821992</x:v>
      </x:c>
      <x:c r="AL68" s="20" t="n">
        <x:f>IFERROR(LN(AB68),"")</x:f>
        <x:v>-0.34462633287396344</x:v>
      </x:c>
      <x:c r="AM68" s="20" t="n">
        <x:f>IFERROR(LN(AC68),"")</x:f>
        <x:v>-0.5545177444479563</x:v>
      </x:c>
      <x:c r="AN68" s="20" t="n">
        <x:f>IFERROR(LN(AD68),"")</x:f>
        <x:v>-0.13001514359821992</x:v>
      </x:c>
      <x:c r="AO68" s="20" t="n">
        <x:f>IFERROR(LN(AE68),"")</x:f>
        <x:v>-0.34462633287396344</x:v>
      </x:c>
      <x:c r="AP68" s="20" t="n">
        <x:f>IFERROR(LN(AF68),"")</x:f>
        <x:v>-0.5545177444479563</x:v>
      </x:c>
      <x:c r="AQ68" s="20" t="n">
        <x:f>IFERROR(LN(AG68),"")</x:f>
        <x:v>-0.8991440773219196</x:v>
      </x:c>
    </x:row>
    <x:row r="69" ht="15" hidden="0" customHeight="1">
      <x:c r="A69" s="22"/>
      <x:c r="B69" s="32"/>
      <x:c r="C69" s="22"/>
      <x:c r="D69" s="22"/>
      <x:c r="E69" s="22"/>
      <x:c r="F69" s="33"/>
      <x:c r="G69" s="22"/>
      <x:c r="H69" s="22"/>
      <x:c r="I69" s="22"/>
      <x:c r="J69" s="22"/>
      <x:c r="K69" s="22"/>
      <x:c r="L69" s="22"/>
      <x:c r="M69" s="22"/>
      <x:c r="N69" s="22"/>
      <x:c r="O69" s="22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2"/>
      <x:c r="AI69" s="20" t="str">
        <x:f>IFERROR(LN(Y69),"")</x:f>
      </x:c>
      <x:c r="AJ69" s="20" t="str">
        <x:f>IFERROR(LN(Z69),"")</x:f>
      </x:c>
      <x:c r="AK69" s="20" t="str">
        <x:f>IFERROR(LN(AA69),"")</x:f>
      </x:c>
      <x:c r="AL69" s="20" t="str">
        <x:f>IFERROR(LN(AB69),"")</x:f>
      </x:c>
      <x:c r="AM69" s="20" t="str">
        <x:f>IFERROR(LN(AC69),"")</x:f>
      </x:c>
      <x:c r="AN69" s="20" t="str">
        <x:f>IFERROR(LN(AD69),"")</x:f>
      </x:c>
      <x:c r="AO69" s="20" t="str">
        <x:f>IFERROR(LN(AE69),"")</x:f>
      </x:c>
      <x:c r="AP69" s="20" t="str">
        <x:f>IFERROR(LN(AF69),"")</x:f>
      </x:c>
      <x:c r="AQ69" s="20" t="str">
        <x:f>IFERROR(LN(AG69),"")</x:f>
      </x:c>
    </x:row>
    <x:row r="70" ht="15" hidden="0" customHeight="1">
      <x:c r="A70" s="22"/>
      <x:c r="B70" s="32"/>
      <x:c r="C70" s="22"/>
      <x:c r="D70" s="22"/>
      <x:c r="E70" s="22"/>
      <x:c r="F70" s="33"/>
      <x:c r="G70" s="22"/>
      <x:c r="H70" s="22"/>
      <x:c r="I70" s="22"/>
      <x:c r="J70" s="22"/>
      <x:c r="K70" s="22"/>
      <x:c r="L70" s="22"/>
      <x:c r="M70" s="22"/>
      <x:c r="N70" s="22"/>
      <x:c r="O70" s="22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2"/>
      <x:c r="AI70" s="20" t="str">
        <x:f>IFERROR(LN(Y70),"")</x:f>
      </x:c>
      <x:c r="AJ70" s="20" t="str">
        <x:f>IFERROR(LN(Z70),"")</x:f>
      </x:c>
      <x:c r="AK70" s="20" t="str">
        <x:f>IFERROR(LN(AA70),"")</x:f>
      </x:c>
      <x:c r="AL70" s="20" t="str">
        <x:f>IFERROR(LN(AB70),"")</x:f>
      </x:c>
      <x:c r="AM70" s="20" t="str">
        <x:f>IFERROR(LN(AC70),"")</x:f>
      </x:c>
      <x:c r="AN70" s="20" t="str">
        <x:f>IFERROR(LN(AD70),"")</x:f>
      </x:c>
      <x:c r="AO70" s="20" t="str">
        <x:f>IFERROR(LN(AE70),"")</x:f>
      </x:c>
      <x:c r="AP70" s="20" t="str">
        <x:f>IFERROR(LN(AF70),"")</x:f>
      </x:c>
      <x:c r="AQ70" s="20" t="str">
        <x:f>IFERROR(LN(AG70),"")</x:f>
      </x:c>
    </x:row>
    <x:row r="71" ht="15" hidden="0" customHeight="1">
      <x:c r="A71" s="22"/>
      <x:c r="B71" s="32"/>
      <x:c r="C71" s="22"/>
      <x:c r="D71" s="22"/>
      <x:c r="E71" s="22"/>
      <x:c r="F71" s="33"/>
      <x:c r="G71" s="22"/>
      <x:c r="H71" s="22"/>
      <x:c r="I71" s="22"/>
      <x:c r="J71" s="22"/>
      <x:c r="K71" s="22"/>
      <x:c r="L71" s="22"/>
      <x:c r="M71" s="22"/>
      <x:c r="N71" s="22"/>
      <x:c r="O71" s="22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2"/>
      <x:c r="AI71" s="20" t="str">
        <x:f>IFERROR(LN(Y71),"")</x:f>
      </x:c>
      <x:c r="AJ71" s="20" t="str">
        <x:f>IFERROR(LN(Z71),"")</x:f>
      </x:c>
      <x:c r="AK71" s="20" t="str">
        <x:f>IFERROR(LN(AA71),"")</x:f>
      </x:c>
      <x:c r="AL71" s="20" t="str">
        <x:f>IFERROR(LN(AB71),"")</x:f>
      </x:c>
      <x:c r="AM71" s="20" t="str">
        <x:f>IFERROR(LN(AC71),"")</x:f>
      </x:c>
      <x:c r="AN71" s="20" t="str">
        <x:f>IFERROR(LN(AD71),"")</x:f>
      </x:c>
      <x:c r="AO71" s="20" t="str">
        <x:f>IFERROR(LN(AE71),"")</x:f>
      </x:c>
      <x:c r="AP71" s="20" t="str">
        <x:f>IFERROR(LN(AF71),"")</x:f>
      </x:c>
      <x:c r="AQ71" s="20" t="str">
        <x:f>IFERROR(LN(AG71),"")</x:f>
      </x:c>
    </x:row>
    <x:row r="72" ht="15" hidden="0" customHeight="1">
      <x:c r="A72" s="22"/>
      <x:c r="B72" s="32"/>
      <x:c r="C72" s="22"/>
      <x:c r="D72" s="22"/>
      <x:c r="E72" s="22"/>
      <x:c r="F72" s="33"/>
      <x:c r="G72" s="22"/>
      <x:c r="H72" s="22"/>
      <x:c r="I72" s="22"/>
      <x:c r="J72" s="22"/>
      <x:c r="K72" s="22"/>
      <x:c r="L72" s="22"/>
      <x:c r="M72" s="22"/>
      <x:c r="N72" s="22"/>
      <x:c r="O72" s="22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2"/>
      <x:c r="AI72" s="20" t="str">
        <x:f>IFERROR(LN(Y72),"")</x:f>
      </x:c>
      <x:c r="AJ72" s="20" t="str">
        <x:f>IFERROR(LN(Z72),"")</x:f>
      </x:c>
      <x:c r="AK72" s="20" t="str">
        <x:f>IFERROR(LN(AA72),"")</x:f>
      </x:c>
      <x:c r="AL72" s="20" t="str">
        <x:f>IFERROR(LN(AB72),"")</x:f>
      </x:c>
      <x:c r="AM72" s="20" t="str">
        <x:f>IFERROR(LN(AC72),"")</x:f>
      </x:c>
      <x:c r="AN72" s="20" t="str">
        <x:f>IFERROR(LN(AD72),"")</x:f>
      </x:c>
      <x:c r="AO72" s="20" t="str">
        <x:f>IFERROR(LN(AE72),"")</x:f>
      </x:c>
      <x:c r="AP72" s="20" t="str">
        <x:f>IFERROR(LN(AF72),"")</x:f>
      </x:c>
      <x:c r="AQ72" s="20" t="str">
        <x:f>IFERROR(LN(AG72),"")</x:f>
      </x:c>
    </x:row>
    <x:row r="73" ht="15" hidden="0" customHeight="1">
      <x:c r="A73" s="22"/>
      <x:c r="B73" s="32"/>
      <x:c r="C73" s="22"/>
      <x:c r="D73" s="22"/>
      <x:c r="E73" s="22"/>
      <x:c r="F73" s="33"/>
      <x:c r="G73" s="22"/>
      <x:c r="H73" s="22"/>
      <x:c r="I73" s="22"/>
      <x:c r="J73" s="22"/>
      <x:c r="K73" s="22"/>
      <x:c r="L73" s="22"/>
      <x:c r="M73" s="22"/>
      <x:c r="N73" s="22"/>
      <x:c r="O73" s="22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2"/>
      <x:c r="AI73" s="20" t="str">
        <x:f>IFERROR(LN(Y73),"")</x:f>
      </x:c>
      <x:c r="AJ73" s="20" t="str">
        <x:f>IFERROR(LN(Z73),"")</x:f>
      </x:c>
      <x:c r="AK73" s="20" t="str">
        <x:f>IFERROR(LN(AA73),"")</x:f>
      </x:c>
      <x:c r="AL73" s="20" t="str">
        <x:f>IFERROR(LN(AB73),"")</x:f>
      </x:c>
      <x:c r="AM73" s="20" t="str">
        <x:f>IFERROR(LN(AC73),"")</x:f>
      </x:c>
      <x:c r="AN73" s="20" t="str">
        <x:f>IFERROR(LN(AD73),"")</x:f>
      </x:c>
      <x:c r="AO73" s="20" t="str">
        <x:f>IFERROR(LN(AE73),"")</x:f>
      </x:c>
      <x:c r="AP73" s="20" t="str">
        <x:f>IFERROR(LN(AF73),"")</x:f>
      </x:c>
      <x:c r="AQ73" s="20" t="str">
        <x:f>IFERROR(LN(AG73),"")</x:f>
      </x:c>
    </x:row>
    <x:row r="74" ht="15" hidden="0" customHeight="1">
      <x:c r="A74" s="22"/>
      <x:c r="B74" s="32"/>
      <x:c r="C74" s="22"/>
      <x:c r="D74" s="22"/>
      <x:c r="E74" s="22"/>
      <x:c r="F74" s="33"/>
      <x:c r="G74" s="22"/>
      <x:c r="H74" s="22"/>
      <x:c r="I74" s="22"/>
      <x:c r="J74" s="22"/>
      <x:c r="K74" s="22"/>
      <x:c r="L74" s="22"/>
      <x:c r="M74" s="22"/>
      <x:c r="N74" s="22"/>
      <x:c r="O74" s="22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2"/>
      <x:c r="AI74" s="20" t="str">
        <x:f>IFERROR(LN(Y74),"")</x:f>
      </x:c>
      <x:c r="AJ74" s="20" t="str">
        <x:f>IFERROR(LN(Z74),"")</x:f>
      </x:c>
      <x:c r="AK74" s="20" t="str">
        <x:f>IFERROR(LN(AA74),"")</x:f>
      </x:c>
      <x:c r="AL74" s="20" t="str">
        <x:f>IFERROR(LN(AB74),"")</x:f>
      </x:c>
      <x:c r="AM74" s="20" t="str">
        <x:f>IFERROR(LN(AC74),"")</x:f>
      </x:c>
      <x:c r="AN74" s="20" t="str">
        <x:f>IFERROR(LN(AD74),"")</x:f>
      </x:c>
      <x:c r="AO74" s="20" t="str">
        <x:f>IFERROR(LN(AE74),"")</x:f>
      </x:c>
      <x:c r="AP74" s="20" t="str">
        <x:f>IFERROR(LN(AF74),"")</x:f>
      </x:c>
      <x:c r="AQ74" s="20" t="str">
        <x:f>IFERROR(LN(AG74),"")</x:f>
      </x:c>
    </x:row>
    <x:row r="75" ht="15" hidden="0" customHeight="1">
      <x:c r="A75" s="22"/>
      <x:c r="B75" s="32"/>
      <x:c r="C75" s="22"/>
      <x:c r="D75" s="22"/>
      <x:c r="E75" s="22"/>
      <x:c r="F75" s="33"/>
      <x:c r="G75" s="22"/>
      <x:c r="H75" s="22"/>
      <x:c r="I75" s="22"/>
      <x:c r="J75" s="22"/>
      <x:c r="K75" s="22"/>
      <x:c r="L75" s="22"/>
      <x:c r="M75" s="22"/>
      <x:c r="N75" s="22"/>
      <x:c r="O75" s="22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2"/>
      <x:c r="AI75" s="20" t="str">
        <x:f>IFERROR(LN(Y75),"")</x:f>
      </x:c>
      <x:c r="AJ75" s="20" t="str">
        <x:f>IFERROR(LN(Z75),"")</x:f>
      </x:c>
      <x:c r="AK75" s="20" t="str">
        <x:f>IFERROR(LN(AA75),"")</x:f>
      </x:c>
      <x:c r="AL75" s="20" t="str">
        <x:f>IFERROR(LN(AB75),"")</x:f>
      </x:c>
      <x:c r="AM75" s="20" t="str">
        <x:f>IFERROR(LN(AC75),"")</x:f>
      </x:c>
      <x:c r="AN75" s="20" t="str">
        <x:f>IFERROR(LN(AD75),"")</x:f>
      </x:c>
      <x:c r="AO75" s="20" t="str">
        <x:f>IFERROR(LN(AE75),"")</x:f>
      </x:c>
      <x:c r="AP75" s="20" t="str">
        <x:f>IFERROR(LN(AF75),"")</x:f>
      </x:c>
      <x:c r="AQ75" s="20" t="str">
        <x:f>IFERROR(LN(AG75),"")</x:f>
      </x:c>
    </x:row>
    <x:row r="76" ht="15" hidden="0" customHeight="1">
      <x:c r="A76" s="22"/>
      <x:c r="B76" s="32"/>
      <x:c r="C76" s="22"/>
      <x:c r="D76" s="22"/>
      <x:c r="E76" s="22"/>
      <x:c r="F76" s="33"/>
      <x:c r="G76" s="22"/>
      <x:c r="H76" s="22"/>
      <x:c r="I76" s="22"/>
      <x:c r="J76" s="22"/>
      <x:c r="K76" s="22"/>
      <x:c r="L76" s="22"/>
      <x:c r="M76" s="22"/>
      <x:c r="N76" s="22"/>
      <x:c r="O76" s="22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2"/>
      <x:c r="AI76" s="20" t="str">
        <x:f>IFERROR(LN(Y76),"")</x:f>
      </x:c>
      <x:c r="AJ76" s="20" t="str">
        <x:f>IFERROR(LN(Z76),"")</x:f>
      </x:c>
      <x:c r="AK76" s="20" t="str">
        <x:f>IFERROR(LN(AA76),"")</x:f>
      </x:c>
      <x:c r="AL76" s="20" t="str">
        <x:f>IFERROR(LN(AB76),"")</x:f>
      </x:c>
      <x:c r="AM76" s="20" t="str">
        <x:f>IFERROR(LN(AC76),"")</x:f>
      </x:c>
      <x:c r="AN76" s="20" t="str">
        <x:f>IFERROR(LN(AD76),"")</x:f>
      </x:c>
      <x:c r="AO76" s="20" t="str">
        <x:f>IFERROR(LN(AE76),"")</x:f>
      </x:c>
      <x:c r="AP76" s="20" t="str">
        <x:f>IFERROR(LN(AF76),"")</x:f>
      </x:c>
      <x:c r="AQ76" s="20" t="str">
        <x:f>IFERROR(LN(AG76),"")</x:f>
      </x:c>
    </x:row>
    <x:row r="77" ht="15" hidden="0" customHeight="1">
      <x:c r="A77" s="22"/>
      <x:c r="B77" s="32"/>
      <x:c r="C77" s="22"/>
      <x:c r="D77" s="22"/>
      <x:c r="E77" s="22"/>
      <x:c r="F77" s="33"/>
      <x:c r="G77" s="22"/>
      <x:c r="H77" s="22"/>
      <x:c r="I77" s="22"/>
      <x:c r="J77" s="22"/>
      <x:c r="K77" s="22"/>
      <x:c r="L77" s="22"/>
      <x:c r="M77" s="22"/>
      <x:c r="N77" s="22"/>
      <x:c r="O77" s="22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2"/>
      <x:c r="AI77" s="20" t="str">
        <x:f>IFERROR(LN(Y77),"")</x:f>
      </x:c>
      <x:c r="AJ77" s="20" t="str">
        <x:f>IFERROR(LN(Z77),"")</x:f>
      </x:c>
      <x:c r="AK77" s="20" t="str">
        <x:f>IFERROR(LN(AA77),"")</x:f>
      </x:c>
      <x:c r="AL77" s="20" t="str">
        <x:f>IFERROR(LN(AB77),"")</x:f>
      </x:c>
      <x:c r="AM77" s="20" t="str">
        <x:f>IFERROR(LN(AC77),"")</x:f>
      </x:c>
      <x:c r="AN77" s="20" t="str">
        <x:f>IFERROR(LN(AD77),"")</x:f>
      </x:c>
      <x:c r="AO77" s="20" t="str">
        <x:f>IFERROR(LN(AE77),"")</x:f>
      </x:c>
      <x:c r="AP77" s="20" t="str">
        <x:f>IFERROR(LN(AF77),"")</x:f>
      </x:c>
      <x:c r="AQ77" s="20" t="str">
        <x:f>IFERROR(LN(AG77),"")</x:f>
      </x:c>
    </x:row>
    <x:row r="78" ht="15" hidden="0" customHeight="1">
      <x:c r="A78" s="22"/>
      <x:c r="B78" s="32"/>
      <x:c r="C78" s="22"/>
      <x:c r="D78" s="22"/>
      <x:c r="E78" s="22"/>
      <x:c r="F78" s="33"/>
      <x:c r="G78" s="22"/>
      <x:c r="H78" s="22"/>
      <x:c r="I78" s="22"/>
      <x:c r="J78" s="22"/>
      <x:c r="K78" s="22"/>
      <x:c r="L78" s="22"/>
      <x:c r="M78" s="22"/>
      <x:c r="N78" s="22"/>
      <x:c r="O78" s="22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2"/>
      <x:c r="AI78" s="20" t="str">
        <x:f>IFERROR(LN(Y78),"")</x:f>
      </x:c>
      <x:c r="AJ78" s="20" t="str">
        <x:f>IFERROR(LN(Z78),"")</x:f>
      </x:c>
      <x:c r="AK78" s="20" t="str">
        <x:f>IFERROR(LN(AA78),"")</x:f>
      </x:c>
      <x:c r="AL78" s="20" t="str">
        <x:f>IFERROR(LN(AB78),"")</x:f>
      </x:c>
      <x:c r="AM78" s="20" t="str">
        <x:f>IFERROR(LN(AC78),"")</x:f>
      </x:c>
      <x:c r="AN78" s="20" t="str">
        <x:f>IFERROR(LN(AD78),"")</x:f>
      </x:c>
      <x:c r="AO78" s="20" t="str">
        <x:f>IFERROR(LN(AE78),"")</x:f>
      </x:c>
      <x:c r="AP78" s="20" t="str">
        <x:f>IFERROR(LN(AF78),"")</x:f>
      </x:c>
      <x:c r="AQ78" s="20" t="str">
        <x:f>IFERROR(LN(AG78),"")</x:f>
      </x:c>
    </x:row>
    <x:row r="79" ht="15" hidden="0" customHeight="1">
      <x:c r="A79" s="22"/>
      <x:c r="B79" s="32"/>
      <x:c r="C79" s="22"/>
      <x:c r="D79" s="22"/>
      <x:c r="E79" s="22"/>
      <x:c r="F79" s="33"/>
      <x:c r="G79" s="22"/>
      <x:c r="H79" s="22"/>
      <x:c r="I79" s="22"/>
      <x:c r="J79" s="22"/>
      <x:c r="K79" s="22"/>
      <x:c r="L79" s="22"/>
      <x:c r="M79" s="22"/>
      <x:c r="N79" s="22"/>
      <x:c r="O79" s="22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2"/>
      <x:c r="AI79" s="20" t="str">
        <x:f>IFERROR(LN(Y79),"")</x:f>
      </x:c>
      <x:c r="AJ79" s="20" t="str">
        <x:f>IFERROR(LN(Z79),"")</x:f>
      </x:c>
      <x:c r="AK79" s="20" t="str">
        <x:f>IFERROR(LN(AA79),"")</x:f>
      </x:c>
      <x:c r="AL79" s="20" t="str">
        <x:f>IFERROR(LN(AB79),"")</x:f>
      </x:c>
      <x:c r="AM79" s="20" t="str">
        <x:f>IFERROR(LN(AC79),"")</x:f>
      </x:c>
      <x:c r="AN79" s="20" t="str">
        <x:f>IFERROR(LN(AD79),"")</x:f>
      </x:c>
      <x:c r="AO79" s="20" t="str">
        <x:f>IFERROR(LN(AE79),"")</x:f>
      </x:c>
      <x:c r="AP79" s="20" t="str">
        <x:f>IFERROR(LN(AF79),"")</x:f>
      </x:c>
      <x:c r="AQ79" s="20" t="str">
        <x:f>IFERROR(LN(AG79),"")</x:f>
      </x:c>
    </x:row>
    <x:row r="80" ht="15" hidden="0" customHeight="1">
      <x:c r="A80" s="22"/>
      <x:c r="B80" s="32"/>
      <x:c r="C80" s="22"/>
      <x:c r="D80" s="22"/>
      <x:c r="E80" s="22"/>
      <x:c r="F80" s="33"/>
      <x:c r="G80" s="22"/>
      <x:c r="H80" s="22"/>
      <x:c r="I80" s="22"/>
      <x:c r="J80" s="22"/>
      <x:c r="K80" s="22"/>
      <x:c r="L80" s="22"/>
      <x:c r="M80" s="22"/>
      <x:c r="N80" s="22"/>
      <x:c r="O80" s="22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2"/>
      <x:c r="AI80" s="20" t="str">
        <x:f>IFERROR(LN(Y80),"")</x:f>
      </x:c>
      <x:c r="AJ80" s="20" t="str">
        <x:f>IFERROR(LN(Z80),"")</x:f>
      </x:c>
      <x:c r="AK80" s="20" t="str">
        <x:f>IFERROR(LN(AA80),"")</x:f>
      </x:c>
      <x:c r="AL80" s="20" t="str">
        <x:f>IFERROR(LN(AB80),"")</x:f>
      </x:c>
      <x:c r="AM80" s="20" t="str">
        <x:f>IFERROR(LN(AC80),"")</x:f>
      </x:c>
      <x:c r="AN80" s="20" t="str">
        <x:f>IFERROR(LN(AD80),"")</x:f>
      </x:c>
      <x:c r="AO80" s="20" t="str">
        <x:f>IFERROR(LN(AE80),"")</x:f>
      </x:c>
      <x:c r="AP80" s="20" t="str">
        <x:f>IFERROR(LN(AF80),"")</x:f>
      </x:c>
      <x:c r="AQ80" s="20" t="str">
        <x:f>IFERROR(LN(AG80),"")</x:f>
      </x:c>
    </x:row>
    <x:row r="81" ht="15" hidden="0" customHeight="1">
      <x:c r="A81" s="22"/>
      <x:c r="B81" s="32"/>
      <x:c r="C81" s="22"/>
      <x:c r="D81" s="22"/>
      <x:c r="E81" s="22"/>
      <x:c r="F81" s="33"/>
      <x:c r="G81" s="22"/>
      <x:c r="H81" s="22"/>
      <x:c r="I81" s="22"/>
      <x:c r="J81" s="22"/>
      <x:c r="K81" s="22"/>
      <x:c r="L81" s="22"/>
      <x:c r="M81" s="22"/>
      <x:c r="N81" s="22"/>
      <x:c r="O81" s="22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2"/>
      <x:c r="AI81" s="20" t="str">
        <x:f>IFERROR(LN(Y81),"")</x:f>
      </x:c>
      <x:c r="AJ81" s="20" t="str">
        <x:f>IFERROR(LN(Z81),"")</x:f>
      </x:c>
      <x:c r="AK81" s="20" t="str">
        <x:f>IFERROR(LN(AA81),"")</x:f>
      </x:c>
      <x:c r="AL81" s="20" t="str">
        <x:f>IFERROR(LN(AB81),"")</x:f>
      </x:c>
      <x:c r="AM81" s="20" t="str">
        <x:f>IFERROR(LN(AC81),"")</x:f>
      </x:c>
      <x:c r="AN81" s="20" t="str">
        <x:f>IFERROR(LN(AD81),"")</x:f>
      </x:c>
      <x:c r="AO81" s="20" t="str">
        <x:f>IFERROR(LN(AE81),"")</x:f>
      </x:c>
      <x:c r="AP81" s="20" t="str">
        <x:f>IFERROR(LN(AF81),"")</x:f>
      </x:c>
      <x:c r="AQ81" s="20" t="str">
        <x:f>IFERROR(LN(AG81),"")</x:f>
      </x:c>
    </x:row>
    <x:row r="82" ht="15" hidden="0" customHeight="1">
      <x:c r="A82" s="22"/>
      <x:c r="B82" s="32"/>
      <x:c r="C82" s="22"/>
      <x:c r="D82" s="22"/>
      <x:c r="E82" s="22"/>
      <x:c r="F82" s="33"/>
      <x:c r="G82" s="22"/>
      <x:c r="H82" s="22"/>
      <x:c r="I82" s="22"/>
      <x:c r="J82" s="22"/>
      <x:c r="K82" s="22"/>
      <x:c r="L82" s="22"/>
      <x:c r="M82" s="22"/>
      <x:c r="N82" s="22"/>
      <x:c r="O82" s="22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3"/>
      <x:c r="AH82" s="22"/>
      <x:c r="AI82" s="20" t="str">
        <x:f>IFERROR(LN(Y82),"")</x:f>
      </x:c>
      <x:c r="AJ82" s="20" t="str">
        <x:f>IFERROR(LN(Z82),"")</x:f>
      </x:c>
      <x:c r="AK82" s="20" t="str">
        <x:f>IFERROR(LN(AA82),"")</x:f>
      </x:c>
      <x:c r="AL82" s="20" t="str">
        <x:f>IFERROR(LN(AB82),"")</x:f>
      </x:c>
      <x:c r="AM82" s="20" t="str">
        <x:f>IFERROR(LN(AC82),"")</x:f>
      </x:c>
      <x:c r="AN82" s="20" t="str">
        <x:f>IFERROR(LN(AD82),"")</x:f>
      </x:c>
      <x:c r="AO82" s="20" t="str">
        <x:f>IFERROR(LN(AE82),"")</x:f>
      </x:c>
      <x:c r="AP82" s="20" t="str">
        <x:f>IFERROR(LN(AF82),"")</x:f>
      </x:c>
      <x:c r="AQ82" s="20" t="str">
        <x:f>IFERROR(LN(AG82),"")</x:f>
      </x:c>
    </x:row>
    <x:row r="83" ht="15" hidden="0" customHeight="1">
      <x:c r="A83" s="22"/>
      <x:c r="B83" s="32"/>
      <x:c r="C83" s="22"/>
      <x:c r="D83" s="22"/>
      <x:c r="E83" s="22"/>
      <x:c r="F83" s="33"/>
      <x:c r="G83" s="22"/>
      <x:c r="H83" s="22"/>
      <x:c r="I83" s="22"/>
      <x:c r="J83" s="22"/>
      <x:c r="K83" s="22"/>
      <x:c r="L83" s="22"/>
      <x:c r="M83" s="22"/>
      <x:c r="N83" s="22"/>
      <x:c r="O83" s="22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2"/>
      <x:c r="AI83" s="20" t="str">
        <x:f>IFERROR(LN(Y83),"")</x:f>
      </x:c>
      <x:c r="AJ83" s="20" t="str">
        <x:f>IFERROR(LN(Z83),"")</x:f>
      </x:c>
      <x:c r="AK83" s="20" t="str">
        <x:f>IFERROR(LN(AA83),"")</x:f>
      </x:c>
      <x:c r="AL83" s="20" t="str">
        <x:f>IFERROR(LN(AB83),"")</x:f>
      </x:c>
      <x:c r="AM83" s="20" t="str">
        <x:f>IFERROR(LN(AC83),"")</x:f>
      </x:c>
      <x:c r="AN83" s="20" t="str">
        <x:f>IFERROR(LN(AD83),"")</x:f>
      </x:c>
      <x:c r="AO83" s="20" t="str">
        <x:f>IFERROR(LN(AE83),"")</x:f>
      </x:c>
      <x:c r="AP83" s="20" t="str">
        <x:f>IFERROR(LN(AF83),"")</x:f>
      </x:c>
      <x:c r="AQ83" s="20" t="str">
        <x:f>IFERROR(LN(AG83),"")</x:f>
      </x:c>
    </x:row>
    <x:row r="84" ht="15" hidden="0" customHeight="1">
      <x:c r="A84" s="22"/>
      <x:c r="B84" s="32"/>
      <x:c r="C84" s="22"/>
      <x:c r="D84" s="22"/>
      <x:c r="E84" s="22"/>
      <x:c r="F84" s="33"/>
      <x:c r="G84" s="22"/>
      <x:c r="H84" s="22"/>
      <x:c r="I84" s="22"/>
      <x:c r="J84" s="22"/>
      <x:c r="K84" s="22"/>
      <x:c r="L84" s="22"/>
      <x:c r="M84" s="22"/>
      <x:c r="N84" s="22"/>
      <x:c r="O84" s="22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3"/>
      <x:c r="AH84" s="22"/>
      <x:c r="AI84" s="20" t="str">
        <x:f>IFERROR(LN(Y84),"")</x:f>
      </x:c>
      <x:c r="AJ84" s="20" t="str">
        <x:f>IFERROR(LN(Z84),"")</x:f>
      </x:c>
      <x:c r="AK84" s="20" t="str">
        <x:f>IFERROR(LN(AA84),"")</x:f>
      </x:c>
      <x:c r="AL84" s="20" t="str">
        <x:f>IFERROR(LN(AB84),"")</x:f>
      </x:c>
      <x:c r="AM84" s="20" t="str">
        <x:f>IFERROR(LN(AC84),"")</x:f>
      </x:c>
      <x:c r="AN84" s="20" t="str">
        <x:f>IFERROR(LN(AD84),"")</x:f>
      </x:c>
      <x:c r="AO84" s="20" t="str">
        <x:f>IFERROR(LN(AE84),"")</x:f>
      </x:c>
      <x:c r="AP84" s="20" t="str">
        <x:f>IFERROR(LN(AF84),"")</x:f>
      </x:c>
      <x:c r="AQ84" s="20" t="str">
        <x:f>IFERROR(LN(AG84),"")</x:f>
      </x:c>
    </x:row>
    <x:row r="85" ht="15" hidden="0" customHeight="1">
      <x:c r="A85" s="22"/>
      <x:c r="B85" s="32"/>
      <x:c r="C85" s="22"/>
      <x:c r="D85" s="22"/>
      <x:c r="E85" s="22"/>
      <x:c r="F85" s="33"/>
      <x:c r="G85" s="22"/>
      <x:c r="H85" s="22"/>
      <x:c r="I85" s="22"/>
      <x:c r="J85" s="22"/>
      <x:c r="K85" s="22"/>
      <x:c r="L85" s="22"/>
      <x:c r="M85" s="22"/>
      <x:c r="N85" s="22"/>
      <x:c r="O85" s="22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3"/>
      <x:c r="AH85" s="22"/>
      <x:c r="AI85" s="20" t="str">
        <x:f>IFERROR(LN(Y85),"")</x:f>
      </x:c>
      <x:c r="AJ85" s="20" t="str">
        <x:f>IFERROR(LN(Z85),"")</x:f>
      </x:c>
      <x:c r="AK85" s="20" t="str">
        <x:f>IFERROR(LN(AA85),"")</x:f>
      </x:c>
      <x:c r="AL85" s="20" t="str">
        <x:f>IFERROR(LN(AB85),"")</x:f>
      </x:c>
      <x:c r="AM85" s="20" t="str">
        <x:f>IFERROR(LN(AC85),"")</x:f>
      </x:c>
      <x:c r="AN85" s="20" t="str">
        <x:f>IFERROR(LN(AD85),"")</x:f>
      </x:c>
      <x:c r="AO85" s="20" t="str">
        <x:f>IFERROR(LN(AE85),"")</x:f>
      </x:c>
      <x:c r="AP85" s="20" t="str">
        <x:f>IFERROR(LN(AF85),"")</x:f>
      </x:c>
      <x:c r="AQ85" s="20" t="str">
        <x:f>IFERROR(LN(AG85),"")</x:f>
      </x:c>
    </x:row>
    <x:row r="86" ht="15" hidden="0" customHeight="1">
      <x:c r="A86" s="22"/>
      <x:c r="B86" s="32"/>
      <x:c r="C86" s="22"/>
      <x:c r="D86" s="22"/>
      <x:c r="E86" s="22"/>
      <x:c r="F86" s="33"/>
      <x:c r="G86" s="22"/>
      <x:c r="H86" s="22"/>
      <x:c r="I86" s="22"/>
      <x:c r="J86" s="22"/>
      <x:c r="K86" s="22"/>
      <x:c r="L86" s="22"/>
      <x:c r="M86" s="22"/>
      <x:c r="N86" s="22"/>
      <x:c r="O86" s="22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3"/>
      <x:c r="AH86" s="22"/>
      <x:c r="AI86" s="20" t="str">
        <x:f>IFERROR(LN(Y86),"")</x:f>
      </x:c>
      <x:c r="AJ86" s="20" t="str">
        <x:f>IFERROR(LN(Z86),"")</x:f>
      </x:c>
      <x:c r="AK86" s="20" t="str">
        <x:f>IFERROR(LN(AA86),"")</x:f>
      </x:c>
      <x:c r="AL86" s="20" t="str">
        <x:f>IFERROR(LN(AB86),"")</x:f>
      </x:c>
      <x:c r="AM86" s="20" t="str">
        <x:f>IFERROR(LN(AC86),"")</x:f>
      </x:c>
      <x:c r="AN86" s="20" t="str">
        <x:f>IFERROR(LN(AD86),"")</x:f>
      </x:c>
      <x:c r="AO86" s="20" t="str">
        <x:f>IFERROR(LN(AE86),"")</x:f>
      </x:c>
      <x:c r="AP86" s="20" t="str">
        <x:f>IFERROR(LN(AF86),"")</x:f>
      </x:c>
      <x:c r="AQ86" s="20" t="str">
        <x:f>IFERROR(LN(AG86),"")</x:f>
      </x:c>
    </x:row>
    <x:row r="87" ht="15" hidden="0" customHeight="1">
      <x:c r="A87" s="22"/>
      <x:c r="B87" s="32"/>
      <x:c r="C87" s="22"/>
      <x:c r="D87" s="22"/>
      <x:c r="E87" s="22"/>
      <x:c r="F87" s="33"/>
      <x:c r="G87" s="22"/>
      <x:c r="H87" s="22"/>
      <x:c r="I87" s="22"/>
      <x:c r="J87" s="22"/>
      <x:c r="K87" s="22"/>
      <x:c r="L87" s="22"/>
      <x:c r="M87" s="22"/>
      <x:c r="N87" s="22"/>
      <x:c r="O87" s="22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2"/>
      <x:c r="AI87" s="20" t="str">
        <x:f>IFERROR(LN(Y87),"")</x:f>
      </x:c>
      <x:c r="AJ87" s="20" t="str">
        <x:f>IFERROR(LN(Z87),"")</x:f>
      </x:c>
      <x:c r="AK87" s="20" t="str">
        <x:f>IFERROR(LN(AA87),"")</x:f>
      </x:c>
      <x:c r="AL87" s="20" t="str">
        <x:f>IFERROR(LN(AB87),"")</x:f>
      </x:c>
      <x:c r="AM87" s="20" t="str">
        <x:f>IFERROR(LN(AC87),"")</x:f>
      </x:c>
      <x:c r="AN87" s="20" t="str">
        <x:f>IFERROR(LN(AD87),"")</x:f>
      </x:c>
      <x:c r="AO87" s="20" t="str">
        <x:f>IFERROR(LN(AE87),"")</x:f>
      </x:c>
      <x:c r="AP87" s="20" t="str">
        <x:f>IFERROR(LN(AF87),"")</x:f>
      </x:c>
      <x:c r="AQ87" s="20" t="str">
        <x:f>IFERROR(LN(AG87),"")</x:f>
      </x:c>
    </x:row>
    <x:row r="88" ht="15" hidden="0" customHeight="1">
      <x:c r="A88" s="22"/>
      <x:c r="B88" s="32"/>
      <x:c r="C88" s="22"/>
      <x:c r="D88" s="22"/>
      <x:c r="E88" s="22"/>
      <x:c r="F88" s="33"/>
      <x:c r="G88" s="22"/>
      <x:c r="H88" s="22"/>
      <x:c r="I88" s="22"/>
      <x:c r="J88" s="22"/>
      <x:c r="K88" s="22"/>
      <x:c r="L88" s="22"/>
      <x:c r="M88" s="22"/>
      <x:c r="N88" s="22"/>
      <x:c r="O88" s="22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3"/>
      <x:c r="AH88" s="22"/>
      <x:c r="AI88" s="20" t="str">
        <x:f>IFERROR(LN(Y88),"")</x:f>
      </x:c>
      <x:c r="AJ88" s="20" t="str">
        <x:f>IFERROR(LN(Z88),"")</x:f>
      </x:c>
      <x:c r="AK88" s="20" t="str">
        <x:f>IFERROR(LN(AA88),"")</x:f>
      </x:c>
      <x:c r="AL88" s="20" t="str">
        <x:f>IFERROR(LN(AB88),"")</x:f>
      </x:c>
      <x:c r="AM88" s="20" t="str">
        <x:f>IFERROR(LN(AC88),"")</x:f>
      </x:c>
      <x:c r="AN88" s="20" t="str">
        <x:f>IFERROR(LN(AD88),"")</x:f>
      </x:c>
      <x:c r="AO88" s="20" t="str">
        <x:f>IFERROR(LN(AE88),"")</x:f>
      </x:c>
      <x:c r="AP88" s="20" t="str">
        <x:f>IFERROR(LN(AF88),"")</x:f>
      </x:c>
      <x:c r="AQ88" s="20" t="str">
        <x:f>IFERROR(LN(AG88),"")</x:f>
      </x:c>
    </x:row>
    <x:row r="89" ht="15" hidden="0" customHeight="1">
      <x:c r="A89" s="22"/>
      <x:c r="B89" s="32"/>
      <x:c r="C89" s="22"/>
      <x:c r="D89" s="22"/>
      <x:c r="E89" s="22"/>
      <x:c r="F89" s="33"/>
      <x:c r="G89" s="22"/>
      <x:c r="H89" s="22"/>
      <x:c r="I89" s="22"/>
      <x:c r="J89" s="22"/>
      <x:c r="K89" s="22"/>
      <x:c r="L89" s="22"/>
      <x:c r="M89" s="22"/>
      <x:c r="N89" s="22"/>
      <x:c r="O89" s="22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3"/>
      <x:c r="AH89" s="22"/>
      <x:c r="AI89" s="20" t="str">
        <x:f>IFERROR(LN(Y89),"")</x:f>
      </x:c>
      <x:c r="AJ89" s="20" t="str">
        <x:f>IFERROR(LN(Z89),"")</x:f>
      </x:c>
      <x:c r="AK89" s="20" t="str">
        <x:f>IFERROR(LN(AA89),"")</x:f>
      </x:c>
      <x:c r="AL89" s="20" t="str">
        <x:f>IFERROR(LN(AB89),"")</x:f>
      </x:c>
      <x:c r="AM89" s="20" t="str">
        <x:f>IFERROR(LN(AC89),"")</x:f>
      </x:c>
      <x:c r="AN89" s="20" t="str">
        <x:f>IFERROR(LN(AD89),"")</x:f>
      </x:c>
      <x:c r="AO89" s="20" t="str">
        <x:f>IFERROR(LN(AE89),"")</x:f>
      </x:c>
      <x:c r="AP89" s="20" t="str">
        <x:f>IFERROR(LN(AF89),"")</x:f>
      </x:c>
      <x:c r="AQ89" s="20" t="str">
        <x:f>IFERROR(LN(AG89),"")</x:f>
      </x:c>
    </x:row>
    <x:row r="90" ht="15" hidden="0" customHeight="1">
      <x:c r="A90" s="22"/>
      <x:c r="B90" s="32"/>
      <x:c r="C90" s="22"/>
      <x:c r="D90" s="22"/>
      <x:c r="E90" s="22"/>
      <x:c r="F90" s="33"/>
      <x:c r="G90" s="22"/>
      <x:c r="H90" s="22"/>
      <x:c r="I90" s="22"/>
      <x:c r="J90" s="22"/>
      <x:c r="K90" s="22"/>
      <x:c r="L90" s="22"/>
      <x:c r="M90" s="22"/>
      <x:c r="N90" s="22"/>
      <x:c r="O90" s="22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3"/>
      <x:c r="AH90" s="22"/>
      <x:c r="AI90" s="20" t="str">
        <x:f>IFERROR(LN(Y90),"")</x:f>
      </x:c>
      <x:c r="AJ90" s="20" t="str">
        <x:f>IFERROR(LN(Z90),"")</x:f>
      </x:c>
      <x:c r="AK90" s="20" t="str">
        <x:f>IFERROR(LN(AA90),"")</x:f>
      </x:c>
      <x:c r="AL90" s="20" t="str">
        <x:f>IFERROR(LN(AB90),"")</x:f>
      </x:c>
      <x:c r="AM90" s="20" t="str">
        <x:f>IFERROR(LN(AC90),"")</x:f>
      </x:c>
      <x:c r="AN90" s="20" t="str">
        <x:f>IFERROR(LN(AD90),"")</x:f>
      </x:c>
      <x:c r="AO90" s="20" t="str">
        <x:f>IFERROR(LN(AE90),"")</x:f>
      </x:c>
      <x:c r="AP90" s="20" t="str">
        <x:f>IFERROR(LN(AF90),"")</x:f>
      </x:c>
      <x:c r="AQ90" s="20" t="str">
        <x:f>IFERROR(LN(AG90),"")</x:f>
      </x:c>
    </x:row>
    <x:row r="91" ht="15" hidden="0" customHeight="1">
      <x:c r="A91" s="22"/>
      <x:c r="B91" s="32"/>
      <x:c r="C91" s="22"/>
      <x:c r="D91" s="22"/>
      <x:c r="E91" s="22"/>
      <x:c r="F91" s="33"/>
      <x:c r="G91" s="22"/>
      <x:c r="H91" s="22"/>
      <x:c r="I91" s="22"/>
      <x:c r="J91" s="22"/>
      <x:c r="K91" s="22"/>
      <x:c r="L91" s="22"/>
      <x:c r="M91" s="22"/>
      <x:c r="N91" s="22"/>
      <x:c r="O91" s="22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2"/>
      <x:c r="AI91" s="20" t="str">
        <x:f>IFERROR(LN(Y91),"")</x:f>
      </x:c>
      <x:c r="AJ91" s="20" t="str">
        <x:f>IFERROR(LN(Z91),"")</x:f>
      </x:c>
      <x:c r="AK91" s="20" t="str">
        <x:f>IFERROR(LN(AA91),"")</x:f>
      </x:c>
      <x:c r="AL91" s="20" t="str">
        <x:f>IFERROR(LN(AB91),"")</x:f>
      </x:c>
      <x:c r="AM91" s="20" t="str">
        <x:f>IFERROR(LN(AC91),"")</x:f>
      </x:c>
      <x:c r="AN91" s="20" t="str">
        <x:f>IFERROR(LN(AD91),"")</x:f>
      </x:c>
      <x:c r="AO91" s="20" t="str">
        <x:f>IFERROR(LN(AE91),"")</x:f>
      </x:c>
      <x:c r="AP91" s="20" t="str">
        <x:f>IFERROR(LN(AF91),"")</x:f>
      </x:c>
      <x:c r="AQ91" s="20" t="str">
        <x:f>IFERROR(LN(AG91),"")</x:f>
      </x:c>
    </x:row>
    <x:row r="92" ht="15" hidden="0" customHeight="1">
      <x:c r="A92" s="22"/>
      <x:c r="B92" s="32"/>
      <x:c r="C92" s="22"/>
      <x:c r="D92" s="22"/>
      <x:c r="E92" s="22"/>
      <x:c r="F92" s="33"/>
      <x:c r="G92" s="22"/>
      <x:c r="H92" s="22"/>
      <x:c r="I92" s="22"/>
      <x:c r="J92" s="22"/>
      <x:c r="K92" s="22"/>
      <x:c r="L92" s="22"/>
      <x:c r="M92" s="22"/>
      <x:c r="N92" s="22"/>
      <x:c r="O92" s="22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2"/>
      <x:c r="AI92" s="20" t="str">
        <x:f>IFERROR(LN(Y92),"")</x:f>
      </x:c>
      <x:c r="AJ92" s="20" t="str">
        <x:f>IFERROR(LN(Z92),"")</x:f>
      </x:c>
      <x:c r="AK92" s="20" t="str">
        <x:f>IFERROR(LN(AA92),"")</x:f>
      </x:c>
      <x:c r="AL92" s="20" t="str">
        <x:f>IFERROR(LN(AB92),"")</x:f>
      </x:c>
      <x:c r="AM92" s="20" t="str">
        <x:f>IFERROR(LN(AC92),"")</x:f>
      </x:c>
      <x:c r="AN92" s="20" t="str">
        <x:f>IFERROR(LN(AD92),"")</x:f>
      </x:c>
      <x:c r="AO92" s="20" t="str">
        <x:f>IFERROR(LN(AE92),"")</x:f>
      </x:c>
      <x:c r="AP92" s="20" t="str">
        <x:f>IFERROR(LN(AF92),"")</x:f>
      </x:c>
      <x:c r="AQ92" s="20" t="str">
        <x:f>IFERROR(LN(AG92),"")</x:f>
      </x:c>
    </x:row>
    <x:row r="93" ht="15" hidden="0" customHeight="1">
      <x:c r="A93" s="22"/>
      <x:c r="B93" s="32"/>
      <x:c r="C93" s="22"/>
      <x:c r="D93" s="22"/>
      <x:c r="E93" s="22"/>
      <x:c r="F93" s="33"/>
      <x:c r="G93" s="22"/>
      <x:c r="H93" s="22"/>
      <x:c r="I93" s="22"/>
      <x:c r="J93" s="22"/>
      <x:c r="K93" s="22"/>
      <x:c r="L93" s="22"/>
      <x:c r="M93" s="22"/>
      <x:c r="N93" s="22"/>
      <x:c r="O93" s="22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2"/>
      <x:c r="AI93" s="20" t="str">
        <x:f>IFERROR(LN(Y93),"")</x:f>
      </x:c>
      <x:c r="AJ93" s="20" t="str">
        <x:f>IFERROR(LN(Z93),"")</x:f>
      </x:c>
      <x:c r="AK93" s="20" t="str">
        <x:f>IFERROR(LN(AA93),"")</x:f>
      </x:c>
      <x:c r="AL93" s="20" t="str">
        <x:f>IFERROR(LN(AB93),"")</x:f>
      </x:c>
      <x:c r="AM93" s="20" t="str">
        <x:f>IFERROR(LN(AC93),"")</x:f>
      </x:c>
      <x:c r="AN93" s="20" t="str">
        <x:f>IFERROR(LN(AD93),"")</x:f>
      </x:c>
      <x:c r="AO93" s="20" t="str">
        <x:f>IFERROR(LN(AE93),"")</x:f>
      </x:c>
      <x:c r="AP93" s="20" t="str">
        <x:f>IFERROR(LN(AF93),"")</x:f>
      </x:c>
      <x:c r="AQ93" s="20" t="str">
        <x:f>IFERROR(LN(AG93),"")</x:f>
      </x:c>
    </x:row>
    <x:row r="94" ht="15" hidden="0" customHeight="1">
      <x:c r="A94" s="22"/>
      <x:c r="B94" s="32"/>
      <x:c r="C94" s="22"/>
      <x:c r="D94" s="22"/>
      <x:c r="E94" s="22"/>
      <x:c r="F94" s="33"/>
      <x:c r="G94" s="22"/>
      <x:c r="H94" s="22"/>
      <x:c r="I94" s="22"/>
      <x:c r="J94" s="22"/>
      <x:c r="K94" s="22"/>
      <x:c r="L94" s="22"/>
      <x:c r="M94" s="22"/>
      <x:c r="N94" s="22"/>
      <x:c r="O94" s="22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3"/>
      <x:c r="AH94" s="22"/>
      <x:c r="AI94" s="20" t="str">
        <x:f>IFERROR(LN(Y94),"")</x:f>
      </x:c>
      <x:c r="AJ94" s="20" t="str">
        <x:f>IFERROR(LN(Z94),"")</x:f>
      </x:c>
      <x:c r="AK94" s="20" t="str">
        <x:f>IFERROR(LN(AA94),"")</x:f>
      </x:c>
      <x:c r="AL94" s="20" t="str">
        <x:f>IFERROR(LN(AB94),"")</x:f>
      </x:c>
      <x:c r="AM94" s="20" t="str">
        <x:f>IFERROR(LN(AC94),"")</x:f>
      </x:c>
      <x:c r="AN94" s="20" t="str">
        <x:f>IFERROR(LN(AD94),"")</x:f>
      </x:c>
      <x:c r="AO94" s="20" t="str">
        <x:f>IFERROR(LN(AE94),"")</x:f>
      </x:c>
      <x:c r="AP94" s="20" t="str">
        <x:f>IFERROR(LN(AF94),"")</x:f>
      </x:c>
      <x:c r="AQ94" s="20" t="str">
        <x:f>IFERROR(LN(AG94),"")</x:f>
      </x:c>
    </x:row>
    <x:row r="95" ht="15" hidden="0" customHeight="1">
      <x:c r="A95" s="22"/>
      <x:c r="B95" s="32"/>
      <x:c r="C95" s="22"/>
      <x:c r="D95" s="22"/>
      <x:c r="E95" s="22"/>
      <x:c r="F95" s="33"/>
      <x:c r="G95" s="22"/>
      <x:c r="H95" s="22"/>
      <x:c r="I95" s="22"/>
      <x:c r="J95" s="22"/>
      <x:c r="K95" s="22"/>
      <x:c r="L95" s="22"/>
      <x:c r="M95" s="22"/>
      <x:c r="N95" s="22"/>
      <x:c r="O95" s="22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3"/>
      <x:c r="AH95" s="22"/>
      <x:c r="AI95" s="20" t="str">
        <x:f>IFERROR(LN(Y95),"")</x:f>
      </x:c>
      <x:c r="AJ95" s="20" t="str">
        <x:f>IFERROR(LN(Z95),"")</x:f>
      </x:c>
      <x:c r="AK95" s="20" t="str">
        <x:f>IFERROR(LN(AA95),"")</x:f>
      </x:c>
      <x:c r="AL95" s="20" t="str">
        <x:f>IFERROR(LN(AB95),"")</x:f>
      </x:c>
      <x:c r="AM95" s="20" t="str">
        <x:f>IFERROR(LN(AC95),"")</x:f>
      </x:c>
      <x:c r="AN95" s="20" t="str">
        <x:f>IFERROR(LN(AD95),"")</x:f>
      </x:c>
      <x:c r="AO95" s="20" t="str">
        <x:f>IFERROR(LN(AE95),"")</x:f>
      </x:c>
      <x:c r="AP95" s="20" t="str">
        <x:f>IFERROR(LN(AF95),"")</x:f>
      </x:c>
      <x:c r="AQ95" s="20" t="str">
        <x:f>IFERROR(LN(AG95),"")</x:f>
      </x:c>
    </x:row>
    <x:row r="96" ht="15" hidden="0" customHeight="1">
      <x:c r="A96" s="22"/>
      <x:c r="B96" s="32"/>
      <x:c r="C96" s="22"/>
      <x:c r="D96" s="22"/>
      <x:c r="E96" s="22"/>
      <x:c r="F96" s="33"/>
      <x:c r="G96" s="22"/>
      <x:c r="H96" s="22"/>
      <x:c r="I96" s="22"/>
      <x:c r="J96" s="22"/>
      <x:c r="K96" s="22"/>
      <x:c r="L96" s="22"/>
      <x:c r="M96" s="22"/>
      <x:c r="N96" s="22"/>
      <x:c r="O96" s="22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2"/>
      <x:c r="AI96" s="20" t="str">
        <x:f>IFERROR(LN(Y96),"")</x:f>
      </x:c>
      <x:c r="AJ96" s="20" t="str">
        <x:f>IFERROR(LN(Z96),"")</x:f>
      </x:c>
      <x:c r="AK96" s="20" t="str">
        <x:f>IFERROR(LN(AA96),"")</x:f>
      </x:c>
      <x:c r="AL96" s="20" t="str">
        <x:f>IFERROR(LN(AB96),"")</x:f>
      </x:c>
      <x:c r="AM96" s="20" t="str">
        <x:f>IFERROR(LN(AC96),"")</x:f>
      </x:c>
      <x:c r="AN96" s="20" t="str">
        <x:f>IFERROR(LN(AD96),"")</x:f>
      </x:c>
      <x:c r="AO96" s="20" t="str">
        <x:f>IFERROR(LN(AE96),"")</x:f>
      </x:c>
      <x:c r="AP96" s="20" t="str">
        <x:f>IFERROR(LN(AF96),"")</x:f>
      </x:c>
      <x:c r="AQ96" s="20" t="str">
        <x:f>IFERROR(LN(AG96),"")</x:f>
      </x:c>
    </x:row>
    <x:row r="97" ht="15" hidden="0" customHeight="1">
      <x:c r="A97" s="22"/>
      <x:c r="B97" s="32"/>
      <x:c r="C97" s="22"/>
      <x:c r="D97" s="22"/>
      <x:c r="E97" s="22"/>
      <x:c r="F97" s="33"/>
      <x:c r="G97" s="22"/>
      <x:c r="H97" s="22"/>
      <x:c r="I97" s="22"/>
      <x:c r="J97" s="22"/>
      <x:c r="K97" s="22"/>
      <x:c r="L97" s="22"/>
      <x:c r="M97" s="22"/>
      <x:c r="N97" s="22"/>
      <x:c r="O97" s="22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3"/>
      <x:c r="AH97" s="22"/>
      <x:c r="AI97" s="20" t="str">
        <x:f>IFERROR(LN(Y97),"")</x:f>
      </x:c>
      <x:c r="AJ97" s="20" t="str">
        <x:f>IFERROR(LN(Z97),"")</x:f>
      </x:c>
      <x:c r="AK97" s="20" t="str">
        <x:f>IFERROR(LN(AA97),"")</x:f>
      </x:c>
      <x:c r="AL97" s="20" t="str">
        <x:f>IFERROR(LN(AB97),"")</x:f>
      </x:c>
      <x:c r="AM97" s="20" t="str">
        <x:f>IFERROR(LN(AC97),"")</x:f>
      </x:c>
      <x:c r="AN97" s="20" t="str">
        <x:f>IFERROR(LN(AD97),"")</x:f>
      </x:c>
      <x:c r="AO97" s="20" t="str">
        <x:f>IFERROR(LN(AE97),"")</x:f>
      </x:c>
      <x:c r="AP97" s="20" t="str">
        <x:f>IFERROR(LN(AF97),"")</x:f>
      </x:c>
      <x:c r="AQ97" s="20" t="str">
        <x:f>IFERROR(LN(AG97),"")</x:f>
      </x:c>
    </x:row>
    <x:row r="98" ht="15" hidden="0" customHeight="1">
      <x:c r="A98" s="22"/>
      <x:c r="B98" s="32"/>
      <x:c r="C98" s="22"/>
      <x:c r="D98" s="22"/>
      <x:c r="E98" s="22"/>
      <x:c r="F98" s="33"/>
      <x:c r="G98" s="22"/>
      <x:c r="H98" s="22"/>
      <x:c r="I98" s="22"/>
      <x:c r="J98" s="22"/>
      <x:c r="K98" s="22"/>
      <x:c r="L98" s="22"/>
      <x:c r="M98" s="22"/>
      <x:c r="N98" s="22"/>
      <x:c r="O98" s="22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3"/>
      <x:c r="AH98" s="22"/>
      <x:c r="AI98" s="20" t="str">
        <x:f>IFERROR(LN(Y98),"")</x:f>
      </x:c>
      <x:c r="AJ98" s="20" t="str">
        <x:f>IFERROR(LN(Z98),"")</x:f>
      </x:c>
      <x:c r="AK98" s="20" t="str">
        <x:f>IFERROR(LN(AA98),"")</x:f>
      </x:c>
      <x:c r="AL98" s="20" t="str">
        <x:f>IFERROR(LN(AB98),"")</x:f>
      </x:c>
      <x:c r="AM98" s="20" t="str">
        <x:f>IFERROR(LN(AC98),"")</x:f>
      </x:c>
      <x:c r="AN98" s="20" t="str">
        <x:f>IFERROR(LN(AD98),"")</x:f>
      </x:c>
      <x:c r="AO98" s="20" t="str">
        <x:f>IFERROR(LN(AE98),"")</x:f>
      </x:c>
      <x:c r="AP98" s="20" t="str">
        <x:f>IFERROR(LN(AF98),"")</x:f>
      </x:c>
      <x:c r="AQ98" s="20" t="str">
        <x:f>IFERROR(LN(AG98),"")</x:f>
      </x:c>
    </x:row>
    <x:row r="99" ht="15" hidden="0" customHeight="1">
      <x:c r="A99" s="22"/>
      <x:c r="B99" s="32"/>
      <x:c r="C99" s="22"/>
      <x:c r="D99" s="22"/>
      <x:c r="E99" s="22"/>
      <x:c r="F99" s="33"/>
      <x:c r="G99" s="22"/>
      <x:c r="H99" s="22"/>
      <x:c r="I99" s="22"/>
      <x:c r="J99" s="22"/>
      <x:c r="K99" s="22"/>
      <x:c r="L99" s="22"/>
      <x:c r="M99" s="22"/>
      <x:c r="N99" s="22"/>
      <x:c r="O99" s="22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3"/>
      <x:c r="AH99" s="22"/>
      <x:c r="AI99" s="20" t="str">
        <x:f>IFERROR(LN(Y99),"")</x:f>
      </x:c>
      <x:c r="AJ99" s="20" t="str">
        <x:f>IFERROR(LN(Z99),"")</x:f>
      </x:c>
      <x:c r="AK99" s="20" t="str">
        <x:f>IFERROR(LN(AA99),"")</x:f>
      </x:c>
      <x:c r="AL99" s="20" t="str">
        <x:f>IFERROR(LN(AB99),"")</x:f>
      </x:c>
      <x:c r="AM99" s="20" t="str">
        <x:f>IFERROR(LN(AC99),"")</x:f>
      </x:c>
      <x:c r="AN99" s="20" t="str">
        <x:f>IFERROR(LN(AD99),"")</x:f>
      </x:c>
      <x:c r="AO99" s="20" t="str">
        <x:f>IFERROR(LN(AE99),"")</x:f>
      </x:c>
      <x:c r="AP99" s="20" t="str">
        <x:f>IFERROR(LN(AF99),"")</x:f>
      </x:c>
      <x:c r="AQ99" s="20" t="str">
        <x:f>IFERROR(LN(AG99),"")</x:f>
      </x:c>
    </x:row>
    <x:row r="100" ht="15" hidden="0" customHeight="1">
      <x:c r="A100" s="22"/>
      <x:c r="B100" s="32"/>
      <x:c r="C100" s="22"/>
      <x:c r="D100" s="22"/>
      <x:c r="E100" s="22"/>
      <x:c r="F100" s="33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3"/>
      <x:c r="AH100" s="22"/>
      <x:c r="AI100" s="20" t="str">
        <x:f>IFERROR(LN(Y100),"")</x:f>
      </x:c>
      <x:c r="AJ100" s="20" t="str">
        <x:f>IFERROR(LN(Z100),"")</x:f>
      </x:c>
      <x:c r="AK100" s="20" t="str">
        <x:f>IFERROR(LN(AA100),"")</x:f>
      </x:c>
      <x:c r="AL100" s="20" t="str">
        <x:f>IFERROR(LN(AB100),"")</x:f>
      </x:c>
      <x:c r="AM100" s="20" t="str">
        <x:f>IFERROR(LN(AC100),"")</x:f>
      </x:c>
      <x:c r="AN100" s="20" t="str">
        <x:f>IFERROR(LN(AD100),"")</x:f>
      </x:c>
      <x:c r="AO100" s="20" t="str">
        <x:f>IFERROR(LN(AE100),"")</x:f>
      </x:c>
      <x:c r="AP100" s="20" t="str">
        <x:f>IFERROR(LN(AF100),"")</x:f>
      </x:c>
      <x:c r="AQ100" s="20" t="str">
        <x:f>IFERROR(LN(AG100),"")</x:f>
      </x:c>
    </x:row>
    <x:row r="101" ht="15" hidden="0" customHeight="1">
      <x:c r="A101" s="22"/>
      <x:c r="B101" s="32"/>
      <x:c r="C101" s="22"/>
      <x:c r="D101" s="22"/>
      <x:c r="E101" s="22"/>
      <x:c r="F101" s="33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3"/>
      <x:c r="AH101" s="22"/>
      <x:c r="AI101" s="20" t="str">
        <x:f>IFERROR(LN(Y101),"")</x:f>
      </x:c>
      <x:c r="AJ101" s="20" t="str">
        <x:f>IFERROR(LN(Z101),"")</x:f>
      </x:c>
      <x:c r="AK101" s="20" t="str">
        <x:f>IFERROR(LN(AA101),"")</x:f>
      </x:c>
      <x:c r="AL101" s="20" t="str">
        <x:f>IFERROR(LN(AB101),"")</x:f>
      </x:c>
      <x:c r="AM101" s="20" t="str">
        <x:f>IFERROR(LN(AC101),"")</x:f>
      </x:c>
      <x:c r="AN101" s="20" t="str">
        <x:f>IFERROR(LN(AD101),"")</x:f>
      </x:c>
      <x:c r="AO101" s="20" t="str">
        <x:f>IFERROR(LN(AE101),"")</x:f>
      </x:c>
      <x:c r="AP101" s="20" t="str">
        <x:f>IFERROR(LN(AF101),"")</x:f>
      </x:c>
      <x:c r="AQ101" s="20" t="str">
        <x:f>IFERROR(LN(AG101),"")</x:f>
      </x:c>
    </x:row>
    <x:row r="102" ht="15" hidden="0" customHeight="1">
      <x:c r="A102" s="22"/>
      <x:c r="B102" s="32"/>
      <x:c r="C102" s="22"/>
      <x:c r="D102" s="22"/>
      <x:c r="E102" s="22"/>
      <x:c r="F102" s="33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2"/>
      <x:c r="AI102" s="20" t="str">
        <x:f>IFERROR(LN(Y102),"")</x:f>
      </x:c>
      <x:c r="AJ102" s="20" t="str">
        <x:f>IFERROR(LN(Z102),"")</x:f>
      </x:c>
      <x:c r="AK102" s="20" t="str">
        <x:f>IFERROR(LN(AA102),"")</x:f>
      </x:c>
      <x:c r="AL102" s="20" t="str">
        <x:f>IFERROR(LN(AB102),"")</x:f>
      </x:c>
      <x:c r="AM102" s="20" t="str">
        <x:f>IFERROR(LN(AC102),"")</x:f>
      </x:c>
      <x:c r="AN102" s="20" t="str">
        <x:f>IFERROR(LN(AD102),"")</x:f>
      </x:c>
      <x:c r="AO102" s="20" t="str">
        <x:f>IFERROR(LN(AE102),"")</x:f>
      </x:c>
      <x:c r="AP102" s="20" t="str">
        <x:f>IFERROR(LN(AF102),"")</x:f>
      </x:c>
      <x:c r="AQ102" s="20" t="str">
        <x:f>IFERROR(LN(AG102),"")</x:f>
      </x:c>
    </x:row>
    <x:row r="103" ht="15" hidden="0" customHeight="1">
      <x:c r="A103" s="22"/>
      <x:c r="B103" s="32"/>
      <x:c r="C103" s="22"/>
      <x:c r="D103" s="22"/>
      <x:c r="E103" s="22"/>
      <x:c r="F103" s="33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3"/>
      <x:c r="AH103" s="22"/>
      <x:c r="AI103" s="20" t="str">
        <x:f>IFERROR(LN(Y103),"")</x:f>
      </x:c>
      <x:c r="AJ103" s="20" t="str">
        <x:f>IFERROR(LN(Z103),"")</x:f>
      </x:c>
      <x:c r="AK103" s="20" t="str">
        <x:f>IFERROR(LN(AA103),"")</x:f>
      </x:c>
      <x:c r="AL103" s="20" t="str">
        <x:f>IFERROR(LN(AB103),"")</x:f>
      </x:c>
      <x:c r="AM103" s="20" t="str">
        <x:f>IFERROR(LN(AC103),"")</x:f>
      </x:c>
      <x:c r="AN103" s="20" t="str">
        <x:f>IFERROR(LN(AD103),"")</x:f>
      </x:c>
      <x:c r="AO103" s="20" t="str">
        <x:f>IFERROR(LN(AE103),"")</x:f>
      </x:c>
      <x:c r="AP103" s="20" t="str">
        <x:f>IFERROR(LN(AF103),"")</x:f>
      </x:c>
      <x:c r="AQ103" s="20" t="str">
        <x:f>IFERROR(LN(AG103),"")</x:f>
      </x:c>
    </x:row>
    <x:row r="104" ht="15" hidden="0" customHeight="1">
      <x:c r="A104" s="22"/>
      <x:c r="B104" s="32"/>
      <x:c r="C104" s="22"/>
      <x:c r="D104" s="22"/>
      <x:c r="E104" s="22"/>
      <x:c r="F104" s="33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2"/>
      <x:c r="AI104" s="20" t="str">
        <x:f>IFERROR(LN(Y104),"")</x:f>
      </x:c>
      <x:c r="AJ104" s="20" t="str">
        <x:f>IFERROR(LN(Z104),"")</x:f>
      </x:c>
      <x:c r="AK104" s="20" t="str">
        <x:f>IFERROR(LN(AA104),"")</x:f>
      </x:c>
      <x:c r="AL104" s="20" t="str">
        <x:f>IFERROR(LN(AB104),"")</x:f>
      </x:c>
      <x:c r="AM104" s="20" t="str">
        <x:f>IFERROR(LN(AC104),"")</x:f>
      </x:c>
      <x:c r="AN104" s="20" t="str">
        <x:f>IFERROR(LN(AD104),"")</x:f>
      </x:c>
      <x:c r="AO104" s="20" t="str">
        <x:f>IFERROR(LN(AE104),"")</x:f>
      </x:c>
      <x:c r="AP104" s="20" t="str">
        <x:f>IFERROR(LN(AF104),"")</x:f>
      </x:c>
      <x:c r="AQ104" s="20" t="str">
        <x:f>IFERROR(LN(AG104),"")</x:f>
      </x:c>
    </x:row>
    <x:row r="105" ht="15" hidden="0" customHeight="1">
      <x:c r="A105" s="22"/>
      <x:c r="B105" s="32"/>
      <x:c r="C105" s="22"/>
      <x:c r="D105" s="22"/>
      <x:c r="E105" s="22"/>
      <x:c r="F105" s="33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2"/>
      <x:c r="AI105" s="20" t="str">
        <x:f>IFERROR(LN(Y105),"")</x:f>
      </x:c>
      <x:c r="AJ105" s="20" t="str">
        <x:f>IFERROR(LN(Z105),"")</x:f>
      </x:c>
      <x:c r="AK105" s="20" t="str">
        <x:f>IFERROR(LN(AA105),"")</x:f>
      </x:c>
      <x:c r="AL105" s="20" t="str">
        <x:f>IFERROR(LN(AB105),"")</x:f>
      </x:c>
      <x:c r="AM105" s="20" t="str">
        <x:f>IFERROR(LN(AC105),"")</x:f>
      </x:c>
      <x:c r="AN105" s="20" t="str">
        <x:f>IFERROR(LN(AD105),"")</x:f>
      </x:c>
      <x:c r="AO105" s="20" t="str">
        <x:f>IFERROR(LN(AE105),"")</x:f>
      </x:c>
      <x:c r="AP105" s="20" t="str">
        <x:f>IFERROR(LN(AF105),"")</x:f>
      </x:c>
      <x:c r="AQ105" s="20" t="str">
        <x:f>IFERROR(LN(AG105),"")</x:f>
      </x:c>
    </x:row>
    <x:row r="106" ht="15" hidden="0" customHeight="1">
      <x:c r="A106" s="22"/>
      <x:c r="B106" s="32"/>
      <x:c r="C106" s="22"/>
      <x:c r="D106" s="22"/>
      <x:c r="E106" s="22"/>
      <x:c r="F106" s="33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2"/>
      <x:c r="AI106" s="20" t="str">
        <x:f>IFERROR(LN(Y106),"")</x:f>
      </x:c>
      <x:c r="AJ106" s="20" t="str">
        <x:f>IFERROR(LN(Z106),"")</x:f>
      </x:c>
      <x:c r="AK106" s="20" t="str">
        <x:f>IFERROR(LN(AA106),"")</x:f>
      </x:c>
      <x:c r="AL106" s="20" t="str">
        <x:f>IFERROR(LN(AB106),"")</x:f>
      </x:c>
      <x:c r="AM106" s="20" t="str">
        <x:f>IFERROR(LN(AC106),"")</x:f>
      </x:c>
      <x:c r="AN106" s="20" t="str">
        <x:f>IFERROR(LN(AD106),"")</x:f>
      </x:c>
      <x:c r="AO106" s="20" t="str">
        <x:f>IFERROR(LN(AE106),"")</x:f>
      </x:c>
      <x:c r="AP106" s="20" t="str">
        <x:f>IFERROR(LN(AF106),"")</x:f>
      </x:c>
      <x:c r="AQ106" s="20" t="str">
        <x:f>IFERROR(LN(AG106),"")</x:f>
      </x:c>
    </x:row>
    <x:row r="107" ht="15" hidden="0" customHeight="1">
      <x:c r="A107" s="22"/>
      <x:c r="B107" s="32"/>
      <x:c r="C107" s="22"/>
      <x:c r="D107" s="22"/>
      <x:c r="E107" s="22"/>
      <x:c r="F107" s="33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  <x:c r="AA107" s="23"/>
      <x:c r="AB107" s="23"/>
      <x:c r="AC107" s="23"/>
      <x:c r="AD107" s="23"/>
      <x:c r="AE107" s="23"/>
      <x:c r="AF107" s="23"/>
      <x:c r="AG107" s="23"/>
      <x:c r="AH107" s="22"/>
      <x:c r="AI107" s="20" t="str">
        <x:f>IFERROR(LN(Y107),"")</x:f>
      </x:c>
      <x:c r="AJ107" s="20" t="str">
        <x:f>IFERROR(LN(Z107),"")</x:f>
      </x:c>
      <x:c r="AK107" s="20" t="str">
        <x:f>IFERROR(LN(AA107),"")</x:f>
      </x:c>
      <x:c r="AL107" s="20" t="str">
        <x:f>IFERROR(LN(AB107),"")</x:f>
      </x:c>
      <x:c r="AM107" s="20" t="str">
        <x:f>IFERROR(LN(AC107),"")</x:f>
      </x:c>
      <x:c r="AN107" s="20" t="str">
        <x:f>IFERROR(LN(AD107),"")</x:f>
      </x:c>
      <x:c r="AO107" s="20" t="str">
        <x:f>IFERROR(LN(AE107),"")</x:f>
      </x:c>
      <x:c r="AP107" s="20" t="str">
        <x:f>IFERROR(LN(AF107),"")</x:f>
      </x:c>
      <x:c r="AQ107" s="20" t="str">
        <x:f>IFERROR(LN(AG107),"")</x:f>
      </x:c>
    </x:row>
    <x:row r="108" ht="15" hidden="0" customHeight="1">
      <x:c r="A108" s="22"/>
      <x:c r="B108" s="32"/>
      <x:c r="C108" s="22"/>
      <x:c r="D108" s="22"/>
      <x:c r="E108" s="22"/>
      <x:c r="F108" s="33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  <x:c r="AA108" s="23"/>
      <x:c r="AB108" s="23"/>
      <x:c r="AC108" s="23"/>
      <x:c r="AD108" s="23"/>
      <x:c r="AE108" s="23"/>
      <x:c r="AF108" s="23"/>
      <x:c r="AG108" s="23"/>
      <x:c r="AH108" s="22"/>
      <x:c r="AI108" s="20" t="str">
        <x:f>IFERROR(LN(Y108),"")</x:f>
      </x:c>
      <x:c r="AJ108" s="20" t="str">
        <x:f>IFERROR(LN(Z108),"")</x:f>
      </x:c>
      <x:c r="AK108" s="20" t="str">
        <x:f>IFERROR(LN(AA108),"")</x:f>
      </x:c>
      <x:c r="AL108" s="20" t="str">
        <x:f>IFERROR(LN(AB108),"")</x:f>
      </x:c>
      <x:c r="AM108" s="20" t="str">
        <x:f>IFERROR(LN(AC108),"")</x:f>
      </x:c>
      <x:c r="AN108" s="20" t="str">
        <x:f>IFERROR(LN(AD108),"")</x:f>
      </x:c>
      <x:c r="AO108" s="20" t="str">
        <x:f>IFERROR(LN(AE108),"")</x:f>
      </x:c>
      <x:c r="AP108" s="20" t="str">
        <x:f>IFERROR(LN(AF108),"")</x:f>
      </x:c>
      <x:c r="AQ108" s="20" t="str">
        <x:f>IFERROR(LN(AG108),"")</x:f>
      </x:c>
    </x:row>
    <x:row r="109" ht="15" hidden="0" customHeight="1">
      <x:c r="A109" s="22"/>
      <x:c r="B109" s="32"/>
      <x:c r="C109" s="22"/>
      <x:c r="D109" s="22"/>
      <x:c r="E109" s="22"/>
      <x:c r="F109" s="33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  <x:c r="AA109" s="23"/>
      <x:c r="AB109" s="23"/>
      <x:c r="AC109" s="23"/>
      <x:c r="AD109" s="23"/>
      <x:c r="AE109" s="23"/>
      <x:c r="AF109" s="23"/>
      <x:c r="AG109" s="23"/>
      <x:c r="AH109" s="22"/>
      <x:c r="AI109" s="20" t="str">
        <x:f>IFERROR(LN(Y109),"")</x:f>
      </x:c>
      <x:c r="AJ109" s="20" t="str">
        <x:f>IFERROR(LN(Z109),"")</x:f>
      </x:c>
      <x:c r="AK109" s="20" t="str">
        <x:f>IFERROR(LN(AA109),"")</x:f>
      </x:c>
      <x:c r="AL109" s="20" t="str">
        <x:f>IFERROR(LN(AB109),"")</x:f>
      </x:c>
      <x:c r="AM109" s="20" t="str">
        <x:f>IFERROR(LN(AC109),"")</x:f>
      </x:c>
      <x:c r="AN109" s="20" t="str">
        <x:f>IFERROR(LN(AD109),"")</x:f>
      </x:c>
      <x:c r="AO109" s="20" t="str">
        <x:f>IFERROR(LN(AE109),"")</x:f>
      </x:c>
      <x:c r="AP109" s="20" t="str">
        <x:f>IFERROR(LN(AF109),"")</x:f>
      </x:c>
      <x:c r="AQ109" s="20" t="str">
        <x:f>IFERROR(LN(AG109),"")</x:f>
      </x:c>
    </x:row>
    <x:row r="110" ht="15" hidden="0" customHeight="1">
      <x:c r="A110" s="22"/>
      <x:c r="B110" s="32"/>
      <x:c r="C110" s="22"/>
      <x:c r="D110" s="22"/>
      <x:c r="E110" s="22"/>
      <x:c r="F110" s="33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  <x:c r="AA110" s="23"/>
      <x:c r="AB110" s="23"/>
      <x:c r="AC110" s="23"/>
      <x:c r="AD110" s="23"/>
      <x:c r="AE110" s="23"/>
      <x:c r="AF110" s="23"/>
      <x:c r="AG110" s="23"/>
      <x:c r="AH110" s="22"/>
      <x:c r="AI110" s="20" t="str">
        <x:f>IFERROR(LN(Y110),"")</x:f>
      </x:c>
      <x:c r="AJ110" s="20" t="str">
        <x:f>IFERROR(LN(Z110),"")</x:f>
      </x:c>
      <x:c r="AK110" s="20" t="str">
        <x:f>IFERROR(LN(AA110),"")</x:f>
      </x:c>
      <x:c r="AL110" s="20" t="str">
        <x:f>IFERROR(LN(AB110),"")</x:f>
      </x:c>
      <x:c r="AM110" s="20" t="str">
        <x:f>IFERROR(LN(AC110),"")</x:f>
      </x:c>
      <x:c r="AN110" s="20" t="str">
        <x:f>IFERROR(LN(AD110),"")</x:f>
      </x:c>
      <x:c r="AO110" s="20" t="str">
        <x:f>IFERROR(LN(AE110),"")</x:f>
      </x:c>
      <x:c r="AP110" s="20" t="str">
        <x:f>IFERROR(LN(AF110),"")</x:f>
      </x:c>
      <x:c r="AQ110" s="20" t="str">
        <x:f>IFERROR(LN(AG110),"")</x:f>
      </x:c>
    </x:row>
    <x:row r="111" ht="15" hidden="0" customHeight="1">
      <x:c r="A111" s="22"/>
      <x:c r="B111" s="32"/>
      <x:c r="C111" s="22"/>
      <x:c r="D111" s="22"/>
      <x:c r="E111" s="22"/>
      <x:c r="F111" s="33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  <x:c r="AA111" s="23"/>
      <x:c r="AB111" s="23"/>
      <x:c r="AC111" s="23"/>
      <x:c r="AD111" s="23"/>
      <x:c r="AE111" s="23"/>
      <x:c r="AF111" s="23"/>
      <x:c r="AG111" s="23"/>
      <x:c r="AH111" s="22"/>
      <x:c r="AI111" s="20" t="str">
        <x:f>IFERROR(LN(Y111),"")</x:f>
      </x:c>
      <x:c r="AJ111" s="20" t="str">
        <x:f>IFERROR(LN(Z111),"")</x:f>
      </x:c>
      <x:c r="AK111" s="20" t="str">
        <x:f>IFERROR(LN(AA111),"")</x:f>
      </x:c>
      <x:c r="AL111" s="20" t="str">
        <x:f>IFERROR(LN(AB111),"")</x:f>
      </x:c>
      <x:c r="AM111" s="20" t="str">
        <x:f>IFERROR(LN(AC111),"")</x:f>
      </x:c>
      <x:c r="AN111" s="20" t="str">
        <x:f>IFERROR(LN(AD111),"")</x:f>
      </x:c>
      <x:c r="AO111" s="20" t="str">
        <x:f>IFERROR(LN(AE111),"")</x:f>
      </x:c>
      <x:c r="AP111" s="20" t="str">
        <x:f>IFERROR(LN(AF111),"")</x:f>
      </x:c>
      <x:c r="AQ111" s="20" t="str">
        <x:f>IFERROR(LN(AG111),"")</x:f>
      </x:c>
    </x:row>
    <x:row r="112" ht="15" hidden="0" customHeight="1">
      <x:c r="A112" s="22"/>
      <x:c r="B112" s="32"/>
      <x:c r="C112" s="22"/>
      <x:c r="D112" s="22"/>
      <x:c r="E112" s="22"/>
      <x:c r="F112" s="33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  <x:c r="AA112" s="23"/>
      <x:c r="AB112" s="23"/>
      <x:c r="AC112" s="23"/>
      <x:c r="AD112" s="23"/>
      <x:c r="AE112" s="23"/>
      <x:c r="AF112" s="23"/>
      <x:c r="AG112" s="23"/>
      <x:c r="AH112" s="22"/>
      <x:c r="AI112" s="20" t="str">
        <x:f>IFERROR(LN(Y112),"")</x:f>
      </x:c>
      <x:c r="AJ112" s="20" t="str">
        <x:f>IFERROR(LN(Z112),"")</x:f>
      </x:c>
      <x:c r="AK112" s="20" t="str">
        <x:f>IFERROR(LN(AA112),"")</x:f>
      </x:c>
      <x:c r="AL112" s="20" t="str">
        <x:f>IFERROR(LN(AB112),"")</x:f>
      </x:c>
      <x:c r="AM112" s="20" t="str">
        <x:f>IFERROR(LN(AC112),"")</x:f>
      </x:c>
      <x:c r="AN112" s="20" t="str">
        <x:f>IFERROR(LN(AD112),"")</x:f>
      </x:c>
      <x:c r="AO112" s="20" t="str">
        <x:f>IFERROR(LN(AE112),"")</x:f>
      </x:c>
      <x:c r="AP112" s="20" t="str">
        <x:f>IFERROR(LN(AF112),"")</x:f>
      </x:c>
      <x:c r="AQ112" s="20" t="str">
        <x:f>IFERROR(LN(AG112),"")</x:f>
      </x:c>
    </x:row>
    <x:row r="113" ht="15" hidden="0" customHeight="1">
      <x:c r="A113" s="22"/>
      <x:c r="B113" s="32"/>
      <x:c r="C113" s="22"/>
      <x:c r="D113" s="22"/>
      <x:c r="E113" s="22"/>
      <x:c r="F113" s="33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  <x:c r="AA113" s="23"/>
      <x:c r="AB113" s="23"/>
      <x:c r="AC113" s="23"/>
      <x:c r="AD113" s="23"/>
      <x:c r="AE113" s="23"/>
      <x:c r="AF113" s="23"/>
      <x:c r="AG113" s="23"/>
      <x:c r="AH113" s="22"/>
      <x:c r="AI113" s="20" t="str">
        <x:f>IFERROR(LN(Y113),"")</x:f>
      </x:c>
      <x:c r="AJ113" s="20" t="str">
        <x:f>IFERROR(LN(Z113),"")</x:f>
      </x:c>
      <x:c r="AK113" s="20" t="str">
        <x:f>IFERROR(LN(AA113),"")</x:f>
      </x:c>
      <x:c r="AL113" s="20" t="str">
        <x:f>IFERROR(LN(AB113),"")</x:f>
      </x:c>
      <x:c r="AM113" s="20" t="str">
        <x:f>IFERROR(LN(AC113),"")</x:f>
      </x:c>
      <x:c r="AN113" s="20" t="str">
        <x:f>IFERROR(LN(AD113),"")</x:f>
      </x:c>
      <x:c r="AO113" s="20" t="str">
        <x:f>IFERROR(LN(AE113),"")</x:f>
      </x:c>
      <x:c r="AP113" s="20" t="str">
        <x:f>IFERROR(LN(AF113),"")</x:f>
      </x:c>
      <x:c r="AQ113" s="20" t="str">
        <x:f>IFERROR(LN(AG113),"")</x:f>
      </x:c>
    </x:row>
    <x:row r="114" ht="15" hidden="0" customHeight="1">
      <x:c r="A114" s="22"/>
      <x:c r="B114" s="32"/>
      <x:c r="C114" s="22"/>
      <x:c r="D114" s="22"/>
      <x:c r="E114" s="22"/>
      <x:c r="F114" s="33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  <x:c r="AA114" s="23"/>
      <x:c r="AB114" s="23"/>
      <x:c r="AC114" s="23"/>
      <x:c r="AD114" s="23"/>
      <x:c r="AE114" s="23"/>
      <x:c r="AF114" s="23"/>
      <x:c r="AG114" s="23"/>
      <x:c r="AH114" s="22"/>
      <x:c r="AI114" s="20" t="str">
        <x:f>IFERROR(LN(Y114),"")</x:f>
      </x:c>
      <x:c r="AJ114" s="20" t="str">
        <x:f>IFERROR(LN(Z114),"")</x:f>
      </x:c>
      <x:c r="AK114" s="20" t="str">
        <x:f>IFERROR(LN(AA114),"")</x:f>
      </x:c>
      <x:c r="AL114" s="20" t="str">
        <x:f>IFERROR(LN(AB114),"")</x:f>
      </x:c>
      <x:c r="AM114" s="20" t="str">
        <x:f>IFERROR(LN(AC114),"")</x:f>
      </x:c>
      <x:c r="AN114" s="20" t="str">
        <x:f>IFERROR(LN(AD114),"")</x:f>
      </x:c>
      <x:c r="AO114" s="20" t="str">
        <x:f>IFERROR(LN(AE114),"")</x:f>
      </x:c>
      <x:c r="AP114" s="20" t="str">
        <x:f>IFERROR(LN(AF114),"")</x:f>
      </x:c>
      <x:c r="AQ114" s="20" t="str">
        <x:f>IFERROR(LN(AG114),"")</x:f>
      </x:c>
    </x:row>
    <x:row r="115" ht="15" hidden="0" customHeight="1">
      <x:c r="A115" s="22"/>
      <x:c r="B115" s="32"/>
      <x:c r="C115" s="22"/>
      <x:c r="D115" s="22"/>
      <x:c r="E115" s="22"/>
      <x:c r="F115" s="33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  <x:c r="AA115" s="23"/>
      <x:c r="AB115" s="23"/>
      <x:c r="AC115" s="23"/>
      <x:c r="AD115" s="23"/>
      <x:c r="AE115" s="23"/>
      <x:c r="AF115" s="23"/>
      <x:c r="AG115" s="23"/>
      <x:c r="AH115" s="22"/>
      <x:c r="AI115" s="20" t="str">
        <x:f>IFERROR(LN(Y115),"")</x:f>
      </x:c>
      <x:c r="AJ115" s="20" t="str">
        <x:f>IFERROR(LN(Z115),"")</x:f>
      </x:c>
      <x:c r="AK115" s="20" t="str">
        <x:f>IFERROR(LN(AA115),"")</x:f>
      </x:c>
      <x:c r="AL115" s="20" t="str">
        <x:f>IFERROR(LN(AB115),"")</x:f>
      </x:c>
      <x:c r="AM115" s="20" t="str">
        <x:f>IFERROR(LN(AC115),"")</x:f>
      </x:c>
      <x:c r="AN115" s="20" t="str">
        <x:f>IFERROR(LN(AD115),"")</x:f>
      </x:c>
      <x:c r="AO115" s="20" t="str">
        <x:f>IFERROR(LN(AE115),"")</x:f>
      </x:c>
      <x:c r="AP115" s="20" t="str">
        <x:f>IFERROR(LN(AF115),"")</x:f>
      </x:c>
      <x:c r="AQ115" s="20" t="str">
        <x:f>IFERROR(LN(AG115),"")</x:f>
      </x:c>
    </x:row>
    <x:row r="116" ht="15" hidden="0" customHeight="1">
      <x:c r="A116" s="22"/>
      <x:c r="B116" s="32"/>
      <x:c r="C116" s="22"/>
      <x:c r="D116" s="22"/>
      <x:c r="E116" s="22"/>
      <x:c r="F116" s="33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  <x:c r="AA116" s="23"/>
      <x:c r="AB116" s="23"/>
      <x:c r="AC116" s="23"/>
      <x:c r="AD116" s="23"/>
      <x:c r="AE116" s="23"/>
      <x:c r="AF116" s="23"/>
      <x:c r="AG116" s="23"/>
      <x:c r="AH116" s="22"/>
      <x:c r="AI116" s="20" t="str">
        <x:f>IFERROR(LN(Y116),"")</x:f>
      </x:c>
      <x:c r="AJ116" s="20" t="str">
        <x:f>IFERROR(LN(Z116),"")</x:f>
      </x:c>
      <x:c r="AK116" s="20" t="str">
        <x:f>IFERROR(LN(AA116),"")</x:f>
      </x:c>
      <x:c r="AL116" s="20" t="str">
        <x:f>IFERROR(LN(AB116),"")</x:f>
      </x:c>
      <x:c r="AM116" s="20" t="str">
        <x:f>IFERROR(LN(AC116),"")</x:f>
      </x:c>
      <x:c r="AN116" s="20" t="str">
        <x:f>IFERROR(LN(AD116),"")</x:f>
      </x:c>
      <x:c r="AO116" s="20" t="str">
        <x:f>IFERROR(LN(AE116),"")</x:f>
      </x:c>
      <x:c r="AP116" s="20" t="str">
        <x:f>IFERROR(LN(AF116),"")</x:f>
      </x:c>
      <x:c r="AQ116" s="20" t="str">
        <x:f>IFERROR(LN(AG116),"")</x:f>
      </x:c>
    </x:row>
    <x:row r="117" ht="15" hidden="0" customHeight="1">
      <x:c r="A117" s="22"/>
      <x:c r="B117" s="32"/>
      <x:c r="C117" s="22"/>
      <x:c r="D117" s="22"/>
      <x:c r="E117" s="22"/>
      <x:c r="F117" s="33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2"/>
      <x:c r="AI117" s="20" t="str">
        <x:f>IFERROR(LN(Y117),"")</x:f>
      </x:c>
      <x:c r="AJ117" s="20" t="str">
        <x:f>IFERROR(LN(Z117),"")</x:f>
      </x:c>
      <x:c r="AK117" s="20" t="str">
        <x:f>IFERROR(LN(AA117),"")</x:f>
      </x:c>
      <x:c r="AL117" s="20" t="str">
        <x:f>IFERROR(LN(AB117),"")</x:f>
      </x:c>
      <x:c r="AM117" s="20" t="str">
        <x:f>IFERROR(LN(AC117),"")</x:f>
      </x:c>
      <x:c r="AN117" s="20" t="str">
        <x:f>IFERROR(LN(AD117),"")</x:f>
      </x:c>
      <x:c r="AO117" s="20" t="str">
        <x:f>IFERROR(LN(AE117),"")</x:f>
      </x:c>
      <x:c r="AP117" s="20" t="str">
        <x:f>IFERROR(LN(AF117),"")</x:f>
      </x:c>
      <x:c r="AQ117" s="20" t="str">
        <x:f>IFERROR(LN(AG117),"")</x:f>
      </x:c>
    </x:row>
    <x:row r="118" ht="15" hidden="0" customHeight="1">
      <x:c r="A118" s="22"/>
      <x:c r="B118" s="32"/>
      <x:c r="C118" s="22"/>
      <x:c r="D118" s="22"/>
      <x:c r="E118" s="22"/>
      <x:c r="F118" s="33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2"/>
      <x:c r="AI118" s="20" t="str">
        <x:f>IFERROR(LN(Y118),"")</x:f>
      </x:c>
      <x:c r="AJ118" s="20" t="str">
        <x:f>IFERROR(LN(Z118),"")</x:f>
      </x:c>
      <x:c r="AK118" s="20" t="str">
        <x:f>IFERROR(LN(AA118),"")</x:f>
      </x:c>
      <x:c r="AL118" s="20" t="str">
        <x:f>IFERROR(LN(AB118),"")</x:f>
      </x:c>
      <x:c r="AM118" s="20" t="str">
        <x:f>IFERROR(LN(AC118),"")</x:f>
      </x:c>
      <x:c r="AN118" s="20" t="str">
        <x:f>IFERROR(LN(AD118),"")</x:f>
      </x:c>
      <x:c r="AO118" s="20" t="str">
        <x:f>IFERROR(LN(AE118),"")</x:f>
      </x:c>
      <x:c r="AP118" s="20" t="str">
        <x:f>IFERROR(LN(AF118),"")</x:f>
      </x:c>
      <x:c r="AQ118" s="20" t="str">
        <x:f>IFERROR(LN(AG118),"")</x:f>
      </x:c>
    </x:row>
    <x:row r="119" ht="15" hidden="0" customHeight="1">
      <x:c r="A119" s="22"/>
      <x:c r="B119" s="32"/>
      <x:c r="C119" s="22"/>
      <x:c r="D119" s="22"/>
      <x:c r="E119" s="22"/>
      <x:c r="F119" s="33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2"/>
      <x:c r="AI119" s="20" t="str">
        <x:f>IFERROR(LN(Y119),"")</x:f>
      </x:c>
      <x:c r="AJ119" s="20" t="str">
        <x:f>IFERROR(LN(Z119),"")</x:f>
      </x:c>
      <x:c r="AK119" s="20" t="str">
        <x:f>IFERROR(LN(AA119),"")</x:f>
      </x:c>
      <x:c r="AL119" s="20" t="str">
        <x:f>IFERROR(LN(AB119),"")</x:f>
      </x:c>
      <x:c r="AM119" s="20" t="str">
        <x:f>IFERROR(LN(AC119),"")</x:f>
      </x:c>
      <x:c r="AN119" s="20" t="str">
        <x:f>IFERROR(LN(AD119),"")</x:f>
      </x:c>
      <x:c r="AO119" s="20" t="str">
        <x:f>IFERROR(LN(AE119),"")</x:f>
      </x:c>
      <x:c r="AP119" s="20" t="str">
        <x:f>IFERROR(LN(AF119),"")</x:f>
      </x:c>
      <x:c r="AQ119" s="20" t="str">
        <x:f>IFERROR(LN(AG119),"")</x:f>
      </x:c>
    </x:row>
    <x:row r="120" ht="15" hidden="0" customHeight="1">
      <x:c r="A120" s="22"/>
      <x:c r="B120" s="32"/>
      <x:c r="C120" s="22"/>
      <x:c r="D120" s="22"/>
      <x:c r="E120" s="22"/>
      <x:c r="F120" s="33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  <x:c r="AA120" s="23"/>
      <x:c r="AB120" s="23"/>
      <x:c r="AC120" s="23"/>
      <x:c r="AD120" s="23"/>
      <x:c r="AE120" s="23"/>
      <x:c r="AF120" s="23"/>
      <x:c r="AG120" s="23"/>
      <x:c r="AH120" s="22"/>
      <x:c r="AI120" s="20" t="str">
        <x:f>IFERROR(LN(Y120),"")</x:f>
      </x:c>
      <x:c r="AJ120" s="20" t="str">
        <x:f>IFERROR(LN(Z120),"")</x:f>
      </x:c>
      <x:c r="AK120" s="20" t="str">
        <x:f>IFERROR(LN(AA120),"")</x:f>
      </x:c>
      <x:c r="AL120" s="20" t="str">
        <x:f>IFERROR(LN(AB120),"")</x:f>
      </x:c>
      <x:c r="AM120" s="20" t="str">
        <x:f>IFERROR(LN(AC120),"")</x:f>
      </x:c>
      <x:c r="AN120" s="20" t="str">
        <x:f>IFERROR(LN(AD120),"")</x:f>
      </x:c>
      <x:c r="AO120" s="20" t="str">
        <x:f>IFERROR(LN(AE120),"")</x:f>
      </x:c>
      <x:c r="AP120" s="20" t="str">
        <x:f>IFERROR(LN(AF120),"")</x:f>
      </x:c>
      <x:c r="AQ120" s="20" t="str">
        <x:f>IFERROR(LN(AG120),"")</x:f>
      </x:c>
    </x:row>
    <x:row r="121" ht="15" hidden="0" customHeight="1">
      <x:c r="A121" s="22"/>
      <x:c r="B121" s="32"/>
      <x:c r="C121" s="22"/>
      <x:c r="D121" s="22"/>
      <x:c r="E121" s="22"/>
      <x:c r="F121" s="33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  <x:c r="AA121" s="23"/>
      <x:c r="AB121" s="23"/>
      <x:c r="AC121" s="23"/>
      <x:c r="AD121" s="23"/>
      <x:c r="AE121" s="23"/>
      <x:c r="AF121" s="23"/>
      <x:c r="AG121" s="23"/>
      <x:c r="AH121" s="22"/>
      <x:c r="AI121" s="20" t="str">
        <x:f>IFERROR(LN(Y121),"")</x:f>
      </x:c>
      <x:c r="AJ121" s="20" t="str">
        <x:f>IFERROR(LN(Z121),"")</x:f>
      </x:c>
      <x:c r="AK121" s="20" t="str">
        <x:f>IFERROR(LN(AA121),"")</x:f>
      </x:c>
      <x:c r="AL121" s="20" t="str">
        <x:f>IFERROR(LN(AB121),"")</x:f>
      </x:c>
      <x:c r="AM121" s="20" t="str">
        <x:f>IFERROR(LN(AC121),"")</x:f>
      </x:c>
      <x:c r="AN121" s="20" t="str">
        <x:f>IFERROR(LN(AD121),"")</x:f>
      </x:c>
      <x:c r="AO121" s="20" t="str">
        <x:f>IFERROR(LN(AE121),"")</x:f>
      </x:c>
      <x:c r="AP121" s="20" t="str">
        <x:f>IFERROR(LN(AF121),"")</x:f>
      </x:c>
      <x:c r="AQ121" s="20" t="str">
        <x:f>IFERROR(LN(AG121),"")</x:f>
      </x:c>
    </x:row>
    <x:row r="122" ht="15" hidden="0" customHeight="1">
      <x:c r="A122" s="22"/>
      <x:c r="B122" s="32"/>
      <x:c r="C122" s="22"/>
      <x:c r="D122" s="22"/>
      <x:c r="E122" s="22"/>
      <x:c r="F122" s="33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  <x:c r="AA122" s="23"/>
      <x:c r="AB122" s="23"/>
      <x:c r="AC122" s="23"/>
      <x:c r="AD122" s="23"/>
      <x:c r="AE122" s="23"/>
      <x:c r="AF122" s="23"/>
      <x:c r="AG122" s="23"/>
      <x:c r="AH122" s="22"/>
      <x:c r="AI122" s="20" t="str">
        <x:f>IFERROR(LN(Y122),"")</x:f>
      </x:c>
      <x:c r="AJ122" s="20" t="str">
        <x:f>IFERROR(LN(Z122),"")</x:f>
      </x:c>
      <x:c r="AK122" s="20" t="str">
        <x:f>IFERROR(LN(AA122),"")</x:f>
      </x:c>
      <x:c r="AL122" s="20" t="str">
        <x:f>IFERROR(LN(AB122),"")</x:f>
      </x:c>
      <x:c r="AM122" s="20" t="str">
        <x:f>IFERROR(LN(AC122),"")</x:f>
      </x:c>
      <x:c r="AN122" s="20" t="str">
        <x:f>IFERROR(LN(AD122),"")</x:f>
      </x:c>
      <x:c r="AO122" s="20" t="str">
        <x:f>IFERROR(LN(AE122),"")</x:f>
      </x:c>
      <x:c r="AP122" s="20" t="str">
        <x:f>IFERROR(LN(AF122),"")</x:f>
      </x:c>
      <x:c r="AQ122" s="20" t="str">
        <x:f>IFERROR(LN(AG122),"")</x:f>
      </x:c>
    </x:row>
    <x:row r="123" ht="15" hidden="0" customHeight="1">
      <x:c r="A123" s="22"/>
      <x:c r="B123" s="32"/>
      <x:c r="C123" s="22"/>
      <x:c r="D123" s="22"/>
      <x:c r="E123" s="22"/>
      <x:c r="F123" s="33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  <x:c r="AA123" s="23"/>
      <x:c r="AB123" s="23"/>
      <x:c r="AC123" s="23"/>
      <x:c r="AD123" s="23"/>
      <x:c r="AE123" s="23"/>
      <x:c r="AF123" s="23"/>
      <x:c r="AG123" s="23"/>
      <x:c r="AH123" s="22"/>
      <x:c r="AI123" s="20" t="str">
        <x:f>IFERROR(LN(Y123),"")</x:f>
      </x:c>
      <x:c r="AJ123" s="20" t="str">
        <x:f>IFERROR(LN(Z123),"")</x:f>
      </x:c>
      <x:c r="AK123" s="20" t="str">
        <x:f>IFERROR(LN(AA123),"")</x:f>
      </x:c>
      <x:c r="AL123" s="20" t="str">
        <x:f>IFERROR(LN(AB123),"")</x:f>
      </x:c>
      <x:c r="AM123" s="20" t="str">
        <x:f>IFERROR(LN(AC123),"")</x:f>
      </x:c>
      <x:c r="AN123" s="20" t="str">
        <x:f>IFERROR(LN(AD123),"")</x:f>
      </x:c>
      <x:c r="AO123" s="20" t="str">
        <x:f>IFERROR(LN(AE123),"")</x:f>
      </x:c>
      <x:c r="AP123" s="20" t="str">
        <x:f>IFERROR(LN(AF123),"")</x:f>
      </x:c>
      <x:c r="AQ123" s="20" t="str">
        <x:f>IFERROR(LN(AG123),"")</x:f>
      </x:c>
    </x:row>
    <x:row r="124" ht="15" hidden="0" customHeight="1">
      <x:c r="A124" s="22"/>
      <x:c r="B124" s="32"/>
      <x:c r="C124" s="22"/>
      <x:c r="D124" s="22"/>
      <x:c r="E124" s="22"/>
      <x:c r="F124" s="33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  <x:c r="AA124" s="23"/>
      <x:c r="AB124" s="23"/>
      <x:c r="AC124" s="23"/>
      <x:c r="AD124" s="23"/>
      <x:c r="AE124" s="23"/>
      <x:c r="AF124" s="23"/>
      <x:c r="AG124" s="23"/>
      <x:c r="AH124" s="22"/>
      <x:c r="AI124" s="20" t="str">
        <x:f>IFERROR(LN(Y124),"")</x:f>
      </x:c>
      <x:c r="AJ124" s="20" t="str">
        <x:f>IFERROR(LN(Z124),"")</x:f>
      </x:c>
      <x:c r="AK124" s="20" t="str">
        <x:f>IFERROR(LN(AA124),"")</x:f>
      </x:c>
      <x:c r="AL124" s="20" t="str">
        <x:f>IFERROR(LN(AB124),"")</x:f>
      </x:c>
      <x:c r="AM124" s="20" t="str">
        <x:f>IFERROR(LN(AC124),"")</x:f>
      </x:c>
      <x:c r="AN124" s="20" t="str">
        <x:f>IFERROR(LN(AD124),"")</x:f>
      </x:c>
      <x:c r="AO124" s="20" t="str">
        <x:f>IFERROR(LN(AE124),"")</x:f>
      </x:c>
      <x:c r="AP124" s="20" t="str">
        <x:f>IFERROR(LN(AF124),"")</x:f>
      </x:c>
      <x:c r="AQ124" s="20" t="str">
        <x:f>IFERROR(LN(AG124),"")</x:f>
      </x:c>
    </x:row>
    <x:row r="125" ht="15" hidden="0" customHeight="1">
      <x:c r="A125" s="22"/>
      <x:c r="B125" s="32"/>
      <x:c r="C125" s="22"/>
      <x:c r="D125" s="22"/>
      <x:c r="E125" s="22"/>
      <x:c r="F125" s="33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  <x:c r="AA125" s="23"/>
      <x:c r="AB125" s="23"/>
      <x:c r="AC125" s="23"/>
      <x:c r="AD125" s="23"/>
      <x:c r="AE125" s="23"/>
      <x:c r="AF125" s="23"/>
      <x:c r="AG125" s="23"/>
      <x:c r="AH125" s="22"/>
      <x:c r="AI125" s="20" t="str">
        <x:f>IFERROR(LN(Y125),"")</x:f>
      </x:c>
      <x:c r="AJ125" s="20" t="str">
        <x:f>IFERROR(LN(Z125),"")</x:f>
      </x:c>
      <x:c r="AK125" s="20" t="str">
        <x:f>IFERROR(LN(AA125),"")</x:f>
      </x:c>
      <x:c r="AL125" s="20" t="str">
        <x:f>IFERROR(LN(AB125),"")</x:f>
      </x:c>
      <x:c r="AM125" s="20" t="str">
        <x:f>IFERROR(LN(AC125),"")</x:f>
      </x:c>
      <x:c r="AN125" s="20" t="str">
        <x:f>IFERROR(LN(AD125),"")</x:f>
      </x:c>
      <x:c r="AO125" s="20" t="str">
        <x:f>IFERROR(LN(AE125),"")</x:f>
      </x:c>
      <x:c r="AP125" s="20" t="str">
        <x:f>IFERROR(LN(AF125),"")</x:f>
      </x:c>
      <x:c r="AQ125" s="20" t="str">
        <x:f>IFERROR(LN(AG125),"")</x:f>
      </x:c>
    </x:row>
    <x:row r="126" ht="15" hidden="0" customHeight="1">
      <x:c r="A126" s="22"/>
      <x:c r="B126" s="32"/>
      <x:c r="C126" s="22"/>
      <x:c r="D126" s="22"/>
      <x:c r="E126" s="22"/>
      <x:c r="F126" s="33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  <x:c r="AA126" s="23"/>
      <x:c r="AB126" s="23"/>
      <x:c r="AC126" s="23"/>
      <x:c r="AD126" s="23"/>
      <x:c r="AE126" s="23"/>
      <x:c r="AF126" s="23"/>
      <x:c r="AG126" s="23"/>
      <x:c r="AH126" s="22"/>
      <x:c r="AI126" s="20" t="str">
        <x:f>IFERROR(LN(Y126),"")</x:f>
      </x:c>
      <x:c r="AJ126" s="20" t="str">
        <x:f>IFERROR(LN(Z126),"")</x:f>
      </x:c>
      <x:c r="AK126" s="20" t="str">
        <x:f>IFERROR(LN(AA126),"")</x:f>
      </x:c>
      <x:c r="AL126" s="20" t="str">
        <x:f>IFERROR(LN(AB126),"")</x:f>
      </x:c>
      <x:c r="AM126" s="20" t="str">
        <x:f>IFERROR(LN(AC126),"")</x:f>
      </x:c>
      <x:c r="AN126" s="20" t="str">
        <x:f>IFERROR(LN(AD126),"")</x:f>
      </x:c>
      <x:c r="AO126" s="20" t="str">
        <x:f>IFERROR(LN(AE126),"")</x:f>
      </x:c>
      <x:c r="AP126" s="20" t="str">
        <x:f>IFERROR(LN(AF126),"")</x:f>
      </x:c>
      <x:c r="AQ126" s="20" t="str">
        <x:f>IFERROR(LN(AG126),"")</x:f>
      </x:c>
    </x:row>
    <x:row r="127" ht="15" hidden="0" customHeight="1">
      <x:c r="A127" s="22"/>
      <x:c r="B127" s="32"/>
      <x:c r="C127" s="22"/>
      <x:c r="D127" s="22"/>
      <x:c r="E127" s="22"/>
      <x:c r="F127" s="33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  <x:c r="AA127" s="23"/>
      <x:c r="AB127" s="23"/>
      <x:c r="AC127" s="23"/>
      <x:c r="AD127" s="23"/>
      <x:c r="AE127" s="23"/>
      <x:c r="AF127" s="23"/>
      <x:c r="AG127" s="23"/>
      <x:c r="AH127" s="22"/>
      <x:c r="AI127" s="20" t="str">
        <x:f>IFERROR(LN(Y127),"")</x:f>
      </x:c>
      <x:c r="AJ127" s="20" t="str">
        <x:f>IFERROR(LN(Z127),"")</x:f>
      </x:c>
      <x:c r="AK127" s="20" t="str">
        <x:f>IFERROR(LN(AA127),"")</x:f>
      </x:c>
      <x:c r="AL127" s="20" t="str">
        <x:f>IFERROR(LN(AB127),"")</x:f>
      </x:c>
      <x:c r="AM127" s="20" t="str">
        <x:f>IFERROR(LN(AC127),"")</x:f>
      </x:c>
      <x:c r="AN127" s="20" t="str">
        <x:f>IFERROR(LN(AD127),"")</x:f>
      </x:c>
      <x:c r="AO127" s="20" t="str">
        <x:f>IFERROR(LN(AE127),"")</x:f>
      </x:c>
      <x:c r="AP127" s="20" t="str">
        <x:f>IFERROR(LN(AF127),"")</x:f>
      </x:c>
      <x:c r="AQ127" s="20" t="str">
        <x:f>IFERROR(LN(AG127),"")</x:f>
      </x:c>
    </x:row>
    <x:row r="128" ht="15" hidden="0" customHeight="1">
      <x:c r="A128" s="22"/>
      <x:c r="B128" s="32"/>
      <x:c r="C128" s="22"/>
      <x:c r="D128" s="22"/>
      <x:c r="E128" s="22"/>
      <x:c r="F128" s="33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  <x:c r="AA128" s="23"/>
      <x:c r="AB128" s="23"/>
      <x:c r="AC128" s="23"/>
      <x:c r="AD128" s="23"/>
      <x:c r="AE128" s="23"/>
      <x:c r="AF128" s="23"/>
      <x:c r="AG128" s="23"/>
      <x:c r="AH128" s="22"/>
      <x:c r="AI128" s="20" t="str">
        <x:f>IFERROR(LN(Y128),"")</x:f>
      </x:c>
      <x:c r="AJ128" s="20" t="str">
        <x:f>IFERROR(LN(Z128),"")</x:f>
      </x:c>
      <x:c r="AK128" s="20" t="str">
        <x:f>IFERROR(LN(AA128),"")</x:f>
      </x:c>
      <x:c r="AL128" s="20" t="str">
        <x:f>IFERROR(LN(AB128),"")</x:f>
      </x:c>
      <x:c r="AM128" s="20" t="str">
        <x:f>IFERROR(LN(AC128),"")</x:f>
      </x:c>
      <x:c r="AN128" s="20" t="str">
        <x:f>IFERROR(LN(AD128),"")</x:f>
      </x:c>
      <x:c r="AO128" s="20" t="str">
        <x:f>IFERROR(LN(AE128),"")</x:f>
      </x:c>
      <x:c r="AP128" s="20" t="str">
        <x:f>IFERROR(LN(AF128),"")</x:f>
      </x:c>
      <x:c r="AQ128" s="20" t="str">
        <x:f>IFERROR(LN(AG128),"")</x:f>
      </x:c>
    </x:row>
    <x:row r="129" ht="15" hidden="0" customHeight="1">
      <x:c r="A129" s="22"/>
      <x:c r="B129" s="32"/>
      <x:c r="C129" s="22"/>
      <x:c r="D129" s="22"/>
      <x:c r="E129" s="22"/>
      <x:c r="F129" s="33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  <x:c r="AA129" s="23"/>
      <x:c r="AB129" s="23"/>
      <x:c r="AC129" s="23"/>
      <x:c r="AD129" s="23"/>
      <x:c r="AE129" s="23"/>
      <x:c r="AF129" s="23"/>
      <x:c r="AG129" s="23"/>
      <x:c r="AH129" s="22"/>
      <x:c r="AI129" s="20" t="str">
        <x:f>IFERROR(LN(Y129),"")</x:f>
      </x:c>
      <x:c r="AJ129" s="20" t="str">
        <x:f>IFERROR(LN(Z129),"")</x:f>
      </x:c>
      <x:c r="AK129" s="20" t="str">
        <x:f>IFERROR(LN(AA129),"")</x:f>
      </x:c>
      <x:c r="AL129" s="20" t="str">
        <x:f>IFERROR(LN(AB129),"")</x:f>
      </x:c>
      <x:c r="AM129" s="20" t="str">
        <x:f>IFERROR(LN(AC129),"")</x:f>
      </x:c>
      <x:c r="AN129" s="20" t="str">
        <x:f>IFERROR(LN(AD129),"")</x:f>
      </x:c>
      <x:c r="AO129" s="20" t="str">
        <x:f>IFERROR(LN(AE129),"")</x:f>
      </x:c>
      <x:c r="AP129" s="20" t="str">
        <x:f>IFERROR(LN(AF129),"")</x:f>
      </x:c>
      <x:c r="AQ129" s="20" t="str">
        <x:f>IFERROR(LN(AG129),"")</x:f>
      </x:c>
    </x:row>
    <x:row r="130" ht="15" hidden="0" customHeight="1">
      <x:c r="A130" s="22"/>
      <x:c r="B130" s="32"/>
      <x:c r="C130" s="22"/>
      <x:c r="D130" s="22"/>
      <x:c r="E130" s="22"/>
      <x:c r="F130" s="33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2"/>
      <x:c r="AI130" s="20" t="str">
        <x:f>IFERROR(LN(Y130),"")</x:f>
      </x:c>
      <x:c r="AJ130" s="20" t="str">
        <x:f>IFERROR(LN(Z130),"")</x:f>
      </x:c>
      <x:c r="AK130" s="20" t="str">
        <x:f>IFERROR(LN(AA130),"")</x:f>
      </x:c>
      <x:c r="AL130" s="20" t="str">
        <x:f>IFERROR(LN(AB130),"")</x:f>
      </x:c>
      <x:c r="AM130" s="20" t="str">
        <x:f>IFERROR(LN(AC130),"")</x:f>
      </x:c>
      <x:c r="AN130" s="20" t="str">
        <x:f>IFERROR(LN(AD130),"")</x:f>
      </x:c>
      <x:c r="AO130" s="20" t="str">
        <x:f>IFERROR(LN(AE130),"")</x:f>
      </x:c>
      <x:c r="AP130" s="20" t="str">
        <x:f>IFERROR(LN(AF130),"")</x:f>
      </x:c>
      <x:c r="AQ130" s="20" t="str">
        <x:f>IFERROR(LN(AG130),"")</x:f>
      </x:c>
    </x:row>
    <x:row r="131" ht="15" hidden="0" customHeight="1">
      <x:c r="A131" s="22"/>
      <x:c r="B131" s="32"/>
      <x:c r="C131" s="22"/>
      <x:c r="D131" s="22"/>
      <x:c r="E131" s="22"/>
      <x:c r="F131" s="33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2"/>
      <x:c r="AI131" s="20" t="str">
        <x:f>IFERROR(LN(Y131),"")</x:f>
      </x:c>
      <x:c r="AJ131" s="20" t="str">
        <x:f>IFERROR(LN(Z131),"")</x:f>
      </x:c>
      <x:c r="AK131" s="20" t="str">
        <x:f>IFERROR(LN(AA131),"")</x:f>
      </x:c>
      <x:c r="AL131" s="20" t="str">
        <x:f>IFERROR(LN(AB131),"")</x:f>
      </x:c>
      <x:c r="AM131" s="20" t="str">
        <x:f>IFERROR(LN(AC131),"")</x:f>
      </x:c>
      <x:c r="AN131" s="20" t="str">
        <x:f>IFERROR(LN(AD131),"")</x:f>
      </x:c>
      <x:c r="AO131" s="20" t="str">
        <x:f>IFERROR(LN(AE131),"")</x:f>
      </x:c>
      <x:c r="AP131" s="20" t="str">
        <x:f>IFERROR(LN(AF131),"")</x:f>
      </x:c>
      <x:c r="AQ131" s="20" t="str">
        <x:f>IFERROR(LN(AG131),"")</x:f>
      </x:c>
    </x:row>
    <x:row r="132" ht="15" hidden="0" customHeight="1">
      <x:c r="A132" s="22"/>
      <x:c r="B132" s="32"/>
      <x:c r="C132" s="22"/>
      <x:c r="D132" s="22"/>
      <x:c r="E132" s="22"/>
      <x:c r="F132" s="33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2"/>
      <x:c r="AI132" s="20" t="str">
        <x:f>IFERROR(LN(Y132),"")</x:f>
      </x:c>
      <x:c r="AJ132" s="20" t="str">
        <x:f>IFERROR(LN(Z132),"")</x:f>
      </x:c>
      <x:c r="AK132" s="20" t="str">
        <x:f>IFERROR(LN(AA132),"")</x:f>
      </x:c>
      <x:c r="AL132" s="20" t="str">
        <x:f>IFERROR(LN(AB132),"")</x:f>
      </x:c>
      <x:c r="AM132" s="20" t="str">
        <x:f>IFERROR(LN(AC132),"")</x:f>
      </x:c>
      <x:c r="AN132" s="20" t="str">
        <x:f>IFERROR(LN(AD132),"")</x:f>
      </x:c>
      <x:c r="AO132" s="20" t="str">
        <x:f>IFERROR(LN(AE132),"")</x:f>
      </x:c>
      <x:c r="AP132" s="20" t="str">
        <x:f>IFERROR(LN(AF132),"")</x:f>
      </x:c>
      <x:c r="AQ132" s="20" t="str">
        <x:f>IFERROR(LN(AG132),"")</x:f>
      </x:c>
    </x:row>
    <x:row r="133" ht="15" hidden="0" customHeight="1">
      <x:c r="A133" s="22"/>
      <x:c r="B133" s="32"/>
      <x:c r="C133" s="22"/>
      <x:c r="D133" s="22"/>
      <x:c r="E133" s="22"/>
      <x:c r="F133" s="33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  <x:c r="AA133" s="23"/>
      <x:c r="AB133" s="23"/>
      <x:c r="AC133" s="23"/>
      <x:c r="AD133" s="23"/>
      <x:c r="AE133" s="23"/>
      <x:c r="AF133" s="23"/>
      <x:c r="AG133" s="23"/>
      <x:c r="AH133" s="22"/>
      <x:c r="AI133" s="20" t="str">
        <x:f>IFERROR(LN(Y133),"")</x:f>
      </x:c>
      <x:c r="AJ133" s="20" t="str">
        <x:f>IFERROR(LN(Z133),"")</x:f>
      </x:c>
      <x:c r="AK133" s="20" t="str">
        <x:f>IFERROR(LN(AA133),"")</x:f>
      </x:c>
      <x:c r="AL133" s="20" t="str">
        <x:f>IFERROR(LN(AB133),"")</x:f>
      </x:c>
      <x:c r="AM133" s="20" t="str">
        <x:f>IFERROR(LN(AC133),"")</x:f>
      </x:c>
      <x:c r="AN133" s="20" t="str">
        <x:f>IFERROR(LN(AD133),"")</x:f>
      </x:c>
      <x:c r="AO133" s="20" t="str">
        <x:f>IFERROR(LN(AE133),"")</x:f>
      </x:c>
      <x:c r="AP133" s="20" t="str">
        <x:f>IFERROR(LN(AF133),"")</x:f>
      </x:c>
      <x:c r="AQ133" s="20" t="str">
        <x:f>IFERROR(LN(AG133),"")</x:f>
      </x:c>
    </x:row>
    <x:row r="134" ht="15" hidden="0" customHeight="1">
      <x:c r="A134" s="22"/>
      <x:c r="B134" s="32"/>
      <x:c r="C134" s="22"/>
      <x:c r="D134" s="22"/>
      <x:c r="E134" s="22"/>
      <x:c r="F134" s="33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  <x:c r="AA134" s="23"/>
      <x:c r="AB134" s="23"/>
      <x:c r="AC134" s="23"/>
      <x:c r="AD134" s="23"/>
      <x:c r="AE134" s="23"/>
      <x:c r="AF134" s="23"/>
      <x:c r="AG134" s="23"/>
      <x:c r="AH134" s="22"/>
      <x:c r="AI134" s="20" t="str">
        <x:f>IFERROR(LN(Y134),"")</x:f>
      </x:c>
      <x:c r="AJ134" s="20" t="str">
        <x:f>IFERROR(LN(Z134),"")</x:f>
      </x:c>
      <x:c r="AK134" s="20" t="str">
        <x:f>IFERROR(LN(AA134),"")</x:f>
      </x:c>
      <x:c r="AL134" s="20" t="str">
        <x:f>IFERROR(LN(AB134),"")</x:f>
      </x:c>
      <x:c r="AM134" s="20" t="str">
        <x:f>IFERROR(LN(AC134),"")</x:f>
      </x:c>
      <x:c r="AN134" s="20" t="str">
        <x:f>IFERROR(LN(AD134),"")</x:f>
      </x:c>
      <x:c r="AO134" s="20" t="str">
        <x:f>IFERROR(LN(AE134),"")</x:f>
      </x:c>
      <x:c r="AP134" s="20" t="str">
        <x:f>IFERROR(LN(AF134),"")</x:f>
      </x:c>
      <x:c r="AQ134" s="20" t="str">
        <x:f>IFERROR(LN(AG134),"")</x:f>
      </x:c>
    </x:row>
    <x:row r="135" ht="15" hidden="0" customHeight="1">
      <x:c r="A135" s="22"/>
      <x:c r="B135" s="32"/>
      <x:c r="C135" s="22"/>
      <x:c r="D135" s="22"/>
      <x:c r="E135" s="22"/>
      <x:c r="F135" s="33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  <x:c r="AA135" s="23"/>
      <x:c r="AB135" s="23"/>
      <x:c r="AC135" s="23"/>
      <x:c r="AD135" s="23"/>
      <x:c r="AE135" s="23"/>
      <x:c r="AF135" s="23"/>
      <x:c r="AG135" s="23"/>
      <x:c r="AH135" s="22"/>
      <x:c r="AI135" s="20" t="str">
        <x:f>IFERROR(LN(Y135),"")</x:f>
      </x:c>
      <x:c r="AJ135" s="20" t="str">
        <x:f>IFERROR(LN(Z135),"")</x:f>
      </x:c>
      <x:c r="AK135" s="20" t="str">
        <x:f>IFERROR(LN(AA135),"")</x:f>
      </x:c>
      <x:c r="AL135" s="20" t="str">
        <x:f>IFERROR(LN(AB135),"")</x:f>
      </x:c>
      <x:c r="AM135" s="20" t="str">
        <x:f>IFERROR(LN(AC135),"")</x:f>
      </x:c>
      <x:c r="AN135" s="20" t="str">
        <x:f>IFERROR(LN(AD135),"")</x:f>
      </x:c>
      <x:c r="AO135" s="20" t="str">
        <x:f>IFERROR(LN(AE135),"")</x:f>
      </x:c>
      <x:c r="AP135" s="20" t="str">
        <x:f>IFERROR(LN(AF135),"")</x:f>
      </x:c>
      <x:c r="AQ135" s="20" t="str">
        <x:f>IFERROR(LN(AG135),"")</x:f>
      </x:c>
    </x:row>
    <x:row r="136" ht="15" hidden="0" customHeight="1">
      <x:c r="A136" s="22"/>
      <x:c r="B136" s="32"/>
      <x:c r="C136" s="22"/>
      <x:c r="D136" s="22"/>
      <x:c r="E136" s="22"/>
      <x:c r="F136" s="33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  <x:c r="AA136" s="23"/>
      <x:c r="AB136" s="23"/>
      <x:c r="AC136" s="23"/>
      <x:c r="AD136" s="23"/>
      <x:c r="AE136" s="23"/>
      <x:c r="AF136" s="23"/>
      <x:c r="AG136" s="23"/>
      <x:c r="AH136" s="22"/>
      <x:c r="AI136" s="20" t="str">
        <x:f>IFERROR(LN(Y136),"")</x:f>
      </x:c>
      <x:c r="AJ136" s="20" t="str">
        <x:f>IFERROR(LN(Z136),"")</x:f>
      </x:c>
      <x:c r="AK136" s="20" t="str">
        <x:f>IFERROR(LN(AA136),"")</x:f>
      </x:c>
      <x:c r="AL136" s="20" t="str">
        <x:f>IFERROR(LN(AB136),"")</x:f>
      </x:c>
      <x:c r="AM136" s="20" t="str">
        <x:f>IFERROR(LN(AC136),"")</x:f>
      </x:c>
      <x:c r="AN136" s="20" t="str">
        <x:f>IFERROR(LN(AD136),"")</x:f>
      </x:c>
      <x:c r="AO136" s="20" t="str">
        <x:f>IFERROR(LN(AE136),"")</x:f>
      </x:c>
      <x:c r="AP136" s="20" t="str">
        <x:f>IFERROR(LN(AF136),"")</x:f>
      </x:c>
      <x:c r="AQ136" s="20" t="str">
        <x:f>IFERROR(LN(AG136),"")</x:f>
      </x:c>
    </x:row>
    <x:row r="137" ht="15" hidden="0" customHeight="1">
      <x:c r="A137" s="22"/>
      <x:c r="B137" s="32"/>
      <x:c r="C137" s="22"/>
      <x:c r="D137" s="22"/>
      <x:c r="E137" s="22"/>
      <x:c r="F137" s="33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  <x:c r="AA137" s="23"/>
      <x:c r="AB137" s="23"/>
      <x:c r="AC137" s="23"/>
      <x:c r="AD137" s="23"/>
      <x:c r="AE137" s="23"/>
      <x:c r="AF137" s="23"/>
      <x:c r="AG137" s="23"/>
      <x:c r="AH137" s="22"/>
      <x:c r="AI137" s="20" t="str">
        <x:f>IFERROR(LN(Y137),"")</x:f>
      </x:c>
      <x:c r="AJ137" s="20" t="str">
        <x:f>IFERROR(LN(Z137),"")</x:f>
      </x:c>
      <x:c r="AK137" s="20" t="str">
        <x:f>IFERROR(LN(AA137),"")</x:f>
      </x:c>
      <x:c r="AL137" s="20" t="str">
        <x:f>IFERROR(LN(AB137),"")</x:f>
      </x:c>
      <x:c r="AM137" s="20" t="str">
        <x:f>IFERROR(LN(AC137),"")</x:f>
      </x:c>
      <x:c r="AN137" s="20" t="str">
        <x:f>IFERROR(LN(AD137),"")</x:f>
      </x:c>
      <x:c r="AO137" s="20" t="str">
        <x:f>IFERROR(LN(AE137),"")</x:f>
      </x:c>
      <x:c r="AP137" s="20" t="str">
        <x:f>IFERROR(LN(AF137),"")</x:f>
      </x:c>
      <x:c r="AQ137" s="20" t="str">
        <x:f>IFERROR(LN(AG137),"")</x:f>
      </x:c>
    </x:row>
    <x:row r="138" ht="15" hidden="0" customHeight="1">
      <x:c r="A138" s="22"/>
      <x:c r="B138" s="32"/>
      <x:c r="C138" s="22"/>
      <x:c r="D138" s="22"/>
      <x:c r="E138" s="22"/>
      <x:c r="F138" s="33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  <x:c r="AA138" s="23"/>
      <x:c r="AB138" s="23"/>
      <x:c r="AC138" s="23"/>
      <x:c r="AD138" s="23"/>
      <x:c r="AE138" s="23"/>
      <x:c r="AF138" s="23"/>
      <x:c r="AG138" s="23"/>
      <x:c r="AH138" s="22"/>
      <x:c r="AI138" s="20" t="str">
        <x:f>IFERROR(LN(Y138),"")</x:f>
      </x:c>
      <x:c r="AJ138" s="20" t="str">
        <x:f>IFERROR(LN(Z138),"")</x:f>
      </x:c>
      <x:c r="AK138" s="20" t="str">
        <x:f>IFERROR(LN(AA138),"")</x:f>
      </x:c>
      <x:c r="AL138" s="20" t="str">
        <x:f>IFERROR(LN(AB138),"")</x:f>
      </x:c>
      <x:c r="AM138" s="20" t="str">
        <x:f>IFERROR(LN(AC138),"")</x:f>
      </x:c>
      <x:c r="AN138" s="20" t="str">
        <x:f>IFERROR(LN(AD138),"")</x:f>
      </x:c>
      <x:c r="AO138" s="20" t="str">
        <x:f>IFERROR(LN(AE138),"")</x:f>
      </x:c>
      <x:c r="AP138" s="20" t="str">
        <x:f>IFERROR(LN(AF138),"")</x:f>
      </x:c>
      <x:c r="AQ138" s="20" t="str">
        <x:f>IFERROR(LN(AG138),"")</x:f>
      </x:c>
    </x:row>
    <x:row r="139" ht="15" hidden="0" customHeight="1">
      <x:c r="A139" s="22"/>
      <x:c r="B139" s="32"/>
      <x:c r="C139" s="22"/>
      <x:c r="D139" s="22"/>
      <x:c r="E139" s="22"/>
      <x:c r="F139" s="33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  <x:c r="AA139" s="23"/>
      <x:c r="AB139" s="23"/>
      <x:c r="AC139" s="23"/>
      <x:c r="AD139" s="23"/>
      <x:c r="AE139" s="23"/>
      <x:c r="AF139" s="23"/>
      <x:c r="AG139" s="23"/>
      <x:c r="AH139" s="22"/>
      <x:c r="AI139" s="20" t="str">
        <x:f>IFERROR(LN(Y139),"")</x:f>
      </x:c>
      <x:c r="AJ139" s="20" t="str">
        <x:f>IFERROR(LN(Z139),"")</x:f>
      </x:c>
      <x:c r="AK139" s="20" t="str">
        <x:f>IFERROR(LN(AA139),"")</x:f>
      </x:c>
      <x:c r="AL139" s="20" t="str">
        <x:f>IFERROR(LN(AB139),"")</x:f>
      </x:c>
      <x:c r="AM139" s="20" t="str">
        <x:f>IFERROR(LN(AC139),"")</x:f>
      </x:c>
      <x:c r="AN139" s="20" t="str">
        <x:f>IFERROR(LN(AD139),"")</x:f>
      </x:c>
      <x:c r="AO139" s="20" t="str">
        <x:f>IFERROR(LN(AE139),"")</x:f>
      </x:c>
      <x:c r="AP139" s="20" t="str">
        <x:f>IFERROR(LN(AF139),"")</x:f>
      </x:c>
      <x:c r="AQ139" s="20" t="str">
        <x:f>IFERROR(LN(AG139),"")</x:f>
      </x:c>
    </x:row>
    <x:row r="140" ht="15" hidden="0" customHeight="1">
      <x:c r="A140" s="22"/>
      <x:c r="B140" s="32"/>
      <x:c r="C140" s="22"/>
      <x:c r="D140" s="22"/>
      <x:c r="E140" s="22"/>
      <x:c r="F140" s="33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  <x:c r="AA140" s="23"/>
      <x:c r="AB140" s="23"/>
      <x:c r="AC140" s="23"/>
      <x:c r="AD140" s="23"/>
      <x:c r="AE140" s="23"/>
      <x:c r="AF140" s="23"/>
      <x:c r="AG140" s="23"/>
      <x:c r="AH140" s="22"/>
      <x:c r="AI140" s="20" t="str">
        <x:f>IFERROR(LN(Y140),"")</x:f>
      </x:c>
      <x:c r="AJ140" s="20" t="str">
        <x:f>IFERROR(LN(Z140),"")</x:f>
      </x:c>
      <x:c r="AK140" s="20" t="str">
        <x:f>IFERROR(LN(AA140),"")</x:f>
      </x:c>
      <x:c r="AL140" s="20" t="str">
        <x:f>IFERROR(LN(AB140),"")</x:f>
      </x:c>
      <x:c r="AM140" s="20" t="str">
        <x:f>IFERROR(LN(AC140),"")</x:f>
      </x:c>
      <x:c r="AN140" s="20" t="str">
        <x:f>IFERROR(LN(AD140),"")</x:f>
      </x:c>
      <x:c r="AO140" s="20" t="str">
        <x:f>IFERROR(LN(AE140),"")</x:f>
      </x:c>
      <x:c r="AP140" s="20" t="str">
        <x:f>IFERROR(LN(AF140),"")</x:f>
      </x:c>
      <x:c r="AQ140" s="20" t="str">
        <x:f>IFERROR(LN(AG140),"")</x:f>
      </x:c>
    </x:row>
    <x:row r="141" ht="15" hidden="0" customHeight="1">
      <x:c r="A141" s="22"/>
      <x:c r="B141" s="32"/>
      <x:c r="C141" s="22"/>
      <x:c r="D141" s="22"/>
      <x:c r="E141" s="22"/>
      <x:c r="F141" s="33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  <x:c r="AA141" s="23"/>
      <x:c r="AB141" s="23"/>
      <x:c r="AC141" s="23"/>
      <x:c r="AD141" s="23"/>
      <x:c r="AE141" s="23"/>
      <x:c r="AF141" s="23"/>
      <x:c r="AG141" s="23"/>
      <x:c r="AH141" s="22"/>
      <x:c r="AI141" s="20" t="str">
        <x:f>IFERROR(LN(Y141),"")</x:f>
      </x:c>
      <x:c r="AJ141" s="20" t="str">
        <x:f>IFERROR(LN(Z141),"")</x:f>
      </x:c>
      <x:c r="AK141" s="20" t="str">
        <x:f>IFERROR(LN(AA141),"")</x:f>
      </x:c>
      <x:c r="AL141" s="20" t="str">
        <x:f>IFERROR(LN(AB141),"")</x:f>
      </x:c>
      <x:c r="AM141" s="20" t="str">
        <x:f>IFERROR(LN(AC141),"")</x:f>
      </x:c>
      <x:c r="AN141" s="20" t="str">
        <x:f>IFERROR(LN(AD141),"")</x:f>
      </x:c>
      <x:c r="AO141" s="20" t="str">
        <x:f>IFERROR(LN(AE141),"")</x:f>
      </x:c>
      <x:c r="AP141" s="20" t="str">
        <x:f>IFERROR(LN(AF141),"")</x:f>
      </x:c>
      <x:c r="AQ141" s="20" t="str">
        <x:f>IFERROR(LN(AG141),"")</x:f>
      </x:c>
    </x:row>
    <x:row r="142" ht="15" hidden="0" customHeight="1">
      <x:c r="A142" s="22"/>
      <x:c r="B142" s="32"/>
      <x:c r="C142" s="22"/>
      <x:c r="D142" s="22"/>
      <x:c r="E142" s="22"/>
      <x:c r="F142" s="33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  <x:c r="AA142" s="23"/>
      <x:c r="AB142" s="23"/>
      <x:c r="AC142" s="23"/>
      <x:c r="AD142" s="23"/>
      <x:c r="AE142" s="23"/>
      <x:c r="AF142" s="23"/>
      <x:c r="AG142" s="23"/>
      <x:c r="AH142" s="22"/>
      <x:c r="AI142" s="20" t="str">
        <x:f>IFERROR(LN(Y142),"")</x:f>
      </x:c>
      <x:c r="AJ142" s="20" t="str">
        <x:f>IFERROR(LN(Z142),"")</x:f>
      </x:c>
      <x:c r="AK142" s="20" t="str">
        <x:f>IFERROR(LN(AA142),"")</x:f>
      </x:c>
      <x:c r="AL142" s="20" t="str">
        <x:f>IFERROR(LN(AB142),"")</x:f>
      </x:c>
      <x:c r="AM142" s="20" t="str">
        <x:f>IFERROR(LN(AC142),"")</x:f>
      </x:c>
      <x:c r="AN142" s="20" t="str">
        <x:f>IFERROR(LN(AD142),"")</x:f>
      </x:c>
      <x:c r="AO142" s="20" t="str">
        <x:f>IFERROR(LN(AE142),"")</x:f>
      </x:c>
      <x:c r="AP142" s="20" t="str">
        <x:f>IFERROR(LN(AF142),"")</x:f>
      </x:c>
      <x:c r="AQ142" s="20" t="str">
        <x:f>IFERROR(LN(AG142),"")</x:f>
      </x:c>
    </x:row>
    <x:row r="143" ht="15" hidden="0" customHeight="1">
      <x:c r="A143" s="22"/>
      <x:c r="B143" s="32"/>
      <x:c r="C143" s="22"/>
      <x:c r="D143" s="22"/>
      <x:c r="E143" s="22"/>
      <x:c r="F143" s="33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2"/>
      <x:c r="AI143" s="20" t="str">
        <x:f>IFERROR(LN(Y143),"")</x:f>
      </x:c>
      <x:c r="AJ143" s="20" t="str">
        <x:f>IFERROR(LN(Z143),"")</x:f>
      </x:c>
      <x:c r="AK143" s="20" t="str">
        <x:f>IFERROR(LN(AA143),"")</x:f>
      </x:c>
      <x:c r="AL143" s="20" t="str">
        <x:f>IFERROR(LN(AB143),"")</x:f>
      </x:c>
      <x:c r="AM143" s="20" t="str">
        <x:f>IFERROR(LN(AC143),"")</x:f>
      </x:c>
      <x:c r="AN143" s="20" t="str">
        <x:f>IFERROR(LN(AD143),"")</x:f>
      </x:c>
      <x:c r="AO143" s="20" t="str">
        <x:f>IFERROR(LN(AE143),"")</x:f>
      </x:c>
      <x:c r="AP143" s="20" t="str">
        <x:f>IFERROR(LN(AF143),"")</x:f>
      </x:c>
      <x:c r="AQ143" s="20" t="str">
        <x:f>IFERROR(LN(AG143),"")</x:f>
      </x:c>
    </x:row>
    <x:row r="144" ht="15" hidden="0" customHeight="1">
      <x:c r="A144" s="22"/>
      <x:c r="B144" s="32"/>
      <x:c r="C144" s="22"/>
      <x:c r="D144" s="22"/>
      <x:c r="E144" s="22"/>
      <x:c r="F144" s="33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2"/>
      <x:c r="AI144" s="20" t="str">
        <x:f>IFERROR(LN(Y144),"")</x:f>
      </x:c>
      <x:c r="AJ144" s="20" t="str">
        <x:f>IFERROR(LN(Z144),"")</x:f>
      </x:c>
      <x:c r="AK144" s="20" t="str">
        <x:f>IFERROR(LN(AA144),"")</x:f>
      </x:c>
      <x:c r="AL144" s="20" t="str">
        <x:f>IFERROR(LN(AB144),"")</x:f>
      </x:c>
      <x:c r="AM144" s="20" t="str">
        <x:f>IFERROR(LN(AC144),"")</x:f>
      </x:c>
      <x:c r="AN144" s="20" t="str">
        <x:f>IFERROR(LN(AD144),"")</x:f>
      </x:c>
      <x:c r="AO144" s="20" t="str">
        <x:f>IFERROR(LN(AE144),"")</x:f>
      </x:c>
      <x:c r="AP144" s="20" t="str">
        <x:f>IFERROR(LN(AF144),"")</x:f>
      </x:c>
      <x:c r="AQ144" s="20" t="str">
        <x:f>IFERROR(LN(AG144),"")</x:f>
      </x:c>
    </x:row>
    <x:row r="145" ht="15" hidden="0" customHeight="1">
      <x:c r="A145" s="22"/>
      <x:c r="B145" s="32"/>
      <x:c r="C145" s="22"/>
      <x:c r="D145" s="22"/>
      <x:c r="E145" s="22"/>
      <x:c r="F145" s="33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2"/>
      <x:c r="AI145" s="20" t="str">
        <x:f>IFERROR(LN(Y145),"")</x:f>
      </x:c>
      <x:c r="AJ145" s="20" t="str">
        <x:f>IFERROR(LN(Z145),"")</x:f>
      </x:c>
      <x:c r="AK145" s="20" t="str">
        <x:f>IFERROR(LN(AA145),"")</x:f>
      </x:c>
      <x:c r="AL145" s="20" t="str">
        <x:f>IFERROR(LN(AB145),"")</x:f>
      </x:c>
      <x:c r="AM145" s="20" t="str">
        <x:f>IFERROR(LN(AC145),"")</x:f>
      </x:c>
      <x:c r="AN145" s="20" t="str">
        <x:f>IFERROR(LN(AD145),"")</x:f>
      </x:c>
      <x:c r="AO145" s="20" t="str">
        <x:f>IFERROR(LN(AE145),"")</x:f>
      </x:c>
      <x:c r="AP145" s="20" t="str">
        <x:f>IFERROR(LN(AF145),"")</x:f>
      </x:c>
      <x:c r="AQ145" s="20" t="str">
        <x:f>IFERROR(LN(AG145),"")</x:f>
      </x:c>
    </x:row>
    <x:row r="146" ht="15" hidden="0" customHeight="1">
      <x:c r="A146" s="22"/>
      <x:c r="B146" s="32"/>
      <x:c r="C146" s="22"/>
      <x:c r="D146" s="22"/>
      <x:c r="E146" s="22"/>
      <x:c r="F146" s="33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  <x:c r="AA146" s="23"/>
      <x:c r="AB146" s="23"/>
      <x:c r="AC146" s="23"/>
      <x:c r="AD146" s="23"/>
      <x:c r="AE146" s="23"/>
      <x:c r="AF146" s="23"/>
      <x:c r="AG146" s="23"/>
      <x:c r="AH146" s="22"/>
      <x:c r="AI146" s="20" t="str">
        <x:f>IFERROR(LN(Y146),"")</x:f>
      </x:c>
      <x:c r="AJ146" s="20" t="str">
        <x:f>IFERROR(LN(Z146),"")</x:f>
      </x:c>
      <x:c r="AK146" s="20" t="str">
        <x:f>IFERROR(LN(AA146),"")</x:f>
      </x:c>
      <x:c r="AL146" s="20" t="str">
        <x:f>IFERROR(LN(AB146),"")</x:f>
      </x:c>
      <x:c r="AM146" s="20" t="str">
        <x:f>IFERROR(LN(AC146),"")</x:f>
      </x:c>
      <x:c r="AN146" s="20" t="str">
        <x:f>IFERROR(LN(AD146),"")</x:f>
      </x:c>
      <x:c r="AO146" s="20" t="str">
        <x:f>IFERROR(LN(AE146),"")</x:f>
      </x:c>
      <x:c r="AP146" s="20" t="str">
        <x:f>IFERROR(LN(AF146),"")</x:f>
      </x:c>
      <x:c r="AQ146" s="20" t="str">
        <x:f>IFERROR(LN(AG146),"")</x:f>
      </x:c>
    </x:row>
    <x:row r="147" ht="15" hidden="0" customHeight="1">
      <x:c r="A147" s="22"/>
      <x:c r="B147" s="32"/>
      <x:c r="C147" s="22"/>
      <x:c r="D147" s="22"/>
      <x:c r="E147" s="22"/>
      <x:c r="F147" s="33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  <x:c r="AA147" s="23"/>
      <x:c r="AB147" s="23"/>
      <x:c r="AC147" s="23"/>
      <x:c r="AD147" s="23"/>
      <x:c r="AE147" s="23"/>
      <x:c r="AF147" s="23"/>
      <x:c r="AG147" s="23"/>
      <x:c r="AH147" s="22"/>
      <x:c r="AI147" s="20" t="str">
        <x:f>IFERROR(LN(Y147),"")</x:f>
      </x:c>
      <x:c r="AJ147" s="20" t="str">
        <x:f>IFERROR(LN(Z147),"")</x:f>
      </x:c>
      <x:c r="AK147" s="20" t="str">
        <x:f>IFERROR(LN(AA147),"")</x:f>
      </x:c>
      <x:c r="AL147" s="20" t="str">
        <x:f>IFERROR(LN(AB147),"")</x:f>
      </x:c>
      <x:c r="AM147" s="20" t="str">
        <x:f>IFERROR(LN(AC147),"")</x:f>
      </x:c>
      <x:c r="AN147" s="20" t="str">
        <x:f>IFERROR(LN(AD147),"")</x:f>
      </x:c>
      <x:c r="AO147" s="20" t="str">
        <x:f>IFERROR(LN(AE147),"")</x:f>
      </x:c>
      <x:c r="AP147" s="20" t="str">
        <x:f>IFERROR(LN(AF147),"")</x:f>
      </x:c>
      <x:c r="AQ147" s="20" t="str">
        <x:f>IFERROR(LN(AG147),"")</x:f>
      </x:c>
    </x:row>
    <x:row r="148" ht="15" hidden="0" customHeight="1">
      <x:c r="A148" s="22"/>
      <x:c r="B148" s="32"/>
      <x:c r="C148" s="22"/>
      <x:c r="D148" s="22"/>
      <x:c r="E148" s="22"/>
      <x:c r="F148" s="33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  <x:c r="AA148" s="23"/>
      <x:c r="AB148" s="23"/>
      <x:c r="AC148" s="23"/>
      <x:c r="AD148" s="23"/>
      <x:c r="AE148" s="23"/>
      <x:c r="AF148" s="23"/>
      <x:c r="AG148" s="23"/>
      <x:c r="AH148" s="22"/>
      <x:c r="AI148" s="20" t="str">
        <x:f>IFERROR(LN(Y148),"")</x:f>
      </x:c>
      <x:c r="AJ148" s="20" t="str">
        <x:f>IFERROR(LN(Z148),"")</x:f>
      </x:c>
      <x:c r="AK148" s="20" t="str">
        <x:f>IFERROR(LN(AA148),"")</x:f>
      </x:c>
      <x:c r="AL148" s="20" t="str">
        <x:f>IFERROR(LN(AB148),"")</x:f>
      </x:c>
      <x:c r="AM148" s="20" t="str">
        <x:f>IFERROR(LN(AC148),"")</x:f>
      </x:c>
      <x:c r="AN148" s="20" t="str">
        <x:f>IFERROR(LN(AD148),"")</x:f>
      </x:c>
      <x:c r="AO148" s="20" t="str">
        <x:f>IFERROR(LN(AE148),"")</x:f>
      </x:c>
      <x:c r="AP148" s="20" t="str">
        <x:f>IFERROR(LN(AF148),"")</x:f>
      </x:c>
      <x:c r="AQ148" s="20" t="str">
        <x:f>IFERROR(LN(AG148),"")</x:f>
      </x:c>
    </x:row>
    <x:row r="149" ht="15" hidden="0" customHeight="1">
      <x:c r="A149" s="22"/>
      <x:c r="B149" s="32"/>
      <x:c r="C149" s="22"/>
      <x:c r="D149" s="22"/>
      <x:c r="E149" s="22"/>
      <x:c r="F149" s="33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  <x:c r="AA149" s="23"/>
      <x:c r="AB149" s="23"/>
      <x:c r="AC149" s="23"/>
      <x:c r="AD149" s="23"/>
      <x:c r="AE149" s="23"/>
      <x:c r="AF149" s="23"/>
      <x:c r="AG149" s="23"/>
      <x:c r="AH149" s="22"/>
      <x:c r="AI149" s="20" t="str">
        <x:f>IFERROR(LN(Y149),"")</x:f>
      </x:c>
      <x:c r="AJ149" s="20" t="str">
        <x:f>IFERROR(LN(Z149),"")</x:f>
      </x:c>
      <x:c r="AK149" s="20" t="str">
        <x:f>IFERROR(LN(AA149),"")</x:f>
      </x:c>
      <x:c r="AL149" s="20" t="str">
        <x:f>IFERROR(LN(AB149),"")</x:f>
      </x:c>
      <x:c r="AM149" s="20" t="str">
        <x:f>IFERROR(LN(AC149),"")</x:f>
      </x:c>
      <x:c r="AN149" s="20" t="str">
        <x:f>IFERROR(LN(AD149),"")</x:f>
      </x:c>
      <x:c r="AO149" s="20" t="str">
        <x:f>IFERROR(LN(AE149),"")</x:f>
      </x:c>
      <x:c r="AP149" s="20" t="str">
        <x:f>IFERROR(LN(AF149),"")</x:f>
      </x:c>
      <x:c r="AQ149" s="20" t="str">
        <x:f>IFERROR(LN(AG149),"")</x:f>
      </x:c>
    </x:row>
    <x:row r="150" ht="15" hidden="0" customHeight="1">
      <x:c r="A150" s="22"/>
      <x:c r="B150" s="32"/>
      <x:c r="C150" s="22"/>
      <x:c r="D150" s="22"/>
      <x:c r="E150" s="22"/>
      <x:c r="F150" s="33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  <x:c r="AA150" s="23"/>
      <x:c r="AB150" s="23"/>
      <x:c r="AC150" s="23"/>
      <x:c r="AD150" s="23"/>
      <x:c r="AE150" s="23"/>
      <x:c r="AF150" s="23"/>
      <x:c r="AG150" s="23"/>
      <x:c r="AH150" s="22"/>
      <x:c r="AI150" s="20" t="str">
        <x:f>IFERROR(LN(Y150),"")</x:f>
      </x:c>
      <x:c r="AJ150" s="20" t="str">
        <x:f>IFERROR(LN(Z150),"")</x:f>
      </x:c>
      <x:c r="AK150" s="20" t="str">
        <x:f>IFERROR(LN(AA150),"")</x:f>
      </x:c>
      <x:c r="AL150" s="20" t="str">
        <x:f>IFERROR(LN(AB150),"")</x:f>
      </x:c>
      <x:c r="AM150" s="20" t="str">
        <x:f>IFERROR(LN(AC150),"")</x:f>
      </x:c>
      <x:c r="AN150" s="20" t="str">
        <x:f>IFERROR(LN(AD150),"")</x:f>
      </x:c>
      <x:c r="AO150" s="20" t="str">
        <x:f>IFERROR(LN(AE150),"")</x:f>
      </x:c>
      <x:c r="AP150" s="20" t="str">
        <x:f>IFERROR(LN(AF150),"")</x:f>
      </x:c>
      <x:c r="AQ150" s="20" t="str">
        <x:f>IFERROR(LN(AG150),"")</x:f>
      </x:c>
    </x:row>
    <x:row r="151" ht="15" hidden="0" customHeight="1">
      <x:c r="A151" s="22"/>
      <x:c r="B151" s="32"/>
      <x:c r="C151" s="22"/>
      <x:c r="D151" s="22"/>
      <x:c r="E151" s="22"/>
      <x:c r="F151" s="33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  <x:c r="AA151" s="23"/>
      <x:c r="AB151" s="23"/>
      <x:c r="AC151" s="23"/>
      <x:c r="AD151" s="23"/>
      <x:c r="AE151" s="23"/>
      <x:c r="AF151" s="23"/>
      <x:c r="AG151" s="23"/>
      <x:c r="AH151" s="22"/>
      <x:c r="AI151" s="20" t="str">
        <x:f>IFERROR(LN(Y151),"")</x:f>
      </x:c>
      <x:c r="AJ151" s="20" t="str">
        <x:f>IFERROR(LN(Z151),"")</x:f>
      </x:c>
      <x:c r="AK151" s="20" t="str">
        <x:f>IFERROR(LN(AA151),"")</x:f>
      </x:c>
      <x:c r="AL151" s="20" t="str">
        <x:f>IFERROR(LN(AB151),"")</x:f>
      </x:c>
      <x:c r="AM151" s="20" t="str">
        <x:f>IFERROR(LN(AC151),"")</x:f>
      </x:c>
      <x:c r="AN151" s="20" t="str">
        <x:f>IFERROR(LN(AD151),"")</x:f>
      </x:c>
      <x:c r="AO151" s="20" t="str">
        <x:f>IFERROR(LN(AE151),"")</x:f>
      </x:c>
      <x:c r="AP151" s="20" t="str">
        <x:f>IFERROR(LN(AF151),"")</x:f>
      </x:c>
      <x:c r="AQ151" s="20" t="str">
        <x:f>IFERROR(LN(AG151),"")</x:f>
      </x:c>
    </x:row>
    <x:row r="152" ht="15" hidden="0" customHeight="1">
      <x:c r="A152" s="22"/>
      <x:c r="B152" s="32"/>
      <x:c r="C152" s="22"/>
      <x:c r="D152" s="22"/>
      <x:c r="E152" s="22"/>
      <x:c r="F152" s="33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  <x:c r="AA152" s="23"/>
      <x:c r="AB152" s="23"/>
      <x:c r="AC152" s="23"/>
      <x:c r="AD152" s="23"/>
      <x:c r="AE152" s="23"/>
      <x:c r="AF152" s="23"/>
      <x:c r="AG152" s="23"/>
      <x:c r="AH152" s="22"/>
      <x:c r="AI152" s="20" t="str">
        <x:f>IFERROR(LN(Y152),"")</x:f>
      </x:c>
      <x:c r="AJ152" s="20" t="str">
        <x:f>IFERROR(LN(Z152),"")</x:f>
      </x:c>
      <x:c r="AK152" s="20" t="str">
        <x:f>IFERROR(LN(AA152),"")</x:f>
      </x:c>
      <x:c r="AL152" s="20" t="str">
        <x:f>IFERROR(LN(AB152),"")</x:f>
      </x:c>
      <x:c r="AM152" s="20" t="str">
        <x:f>IFERROR(LN(AC152),"")</x:f>
      </x:c>
      <x:c r="AN152" s="20" t="str">
        <x:f>IFERROR(LN(AD152),"")</x:f>
      </x:c>
      <x:c r="AO152" s="20" t="str">
        <x:f>IFERROR(LN(AE152),"")</x:f>
      </x:c>
      <x:c r="AP152" s="20" t="str">
        <x:f>IFERROR(LN(AF152),"")</x:f>
      </x:c>
      <x:c r="AQ152" s="20" t="str">
        <x:f>IFERROR(LN(AG152),"")</x:f>
      </x:c>
    </x:row>
    <x:row r="153" ht="15" hidden="0" customHeight="1">
      <x:c r="A153" s="22"/>
      <x:c r="B153" s="32"/>
      <x:c r="C153" s="22"/>
      <x:c r="D153" s="22"/>
      <x:c r="E153" s="22"/>
      <x:c r="F153" s="33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  <x:c r="AA153" s="23"/>
      <x:c r="AB153" s="23"/>
      <x:c r="AC153" s="23"/>
      <x:c r="AD153" s="23"/>
      <x:c r="AE153" s="23"/>
      <x:c r="AF153" s="23"/>
      <x:c r="AG153" s="23"/>
      <x:c r="AH153" s="22"/>
      <x:c r="AI153" s="20" t="str">
        <x:f>IFERROR(LN(Y153),"")</x:f>
      </x:c>
      <x:c r="AJ153" s="20" t="str">
        <x:f>IFERROR(LN(Z153),"")</x:f>
      </x:c>
      <x:c r="AK153" s="20" t="str">
        <x:f>IFERROR(LN(AA153),"")</x:f>
      </x:c>
      <x:c r="AL153" s="20" t="str">
        <x:f>IFERROR(LN(AB153),"")</x:f>
      </x:c>
      <x:c r="AM153" s="20" t="str">
        <x:f>IFERROR(LN(AC153),"")</x:f>
      </x:c>
      <x:c r="AN153" s="20" t="str">
        <x:f>IFERROR(LN(AD153),"")</x:f>
      </x:c>
      <x:c r="AO153" s="20" t="str">
        <x:f>IFERROR(LN(AE153),"")</x:f>
      </x:c>
      <x:c r="AP153" s="20" t="str">
        <x:f>IFERROR(LN(AF153),"")</x:f>
      </x:c>
      <x:c r="AQ153" s="20" t="str">
        <x:f>IFERROR(LN(AG153),"")</x:f>
      </x:c>
    </x:row>
    <x:row r="154" ht="15" hidden="0" customHeight="1">
      <x:c r="A154" s="22"/>
      <x:c r="B154" s="32"/>
      <x:c r="C154" s="22"/>
      <x:c r="D154" s="22"/>
      <x:c r="E154" s="22"/>
      <x:c r="F154" s="33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  <x:c r="AA154" s="23"/>
      <x:c r="AB154" s="23"/>
      <x:c r="AC154" s="23"/>
      <x:c r="AD154" s="23"/>
      <x:c r="AE154" s="23"/>
      <x:c r="AF154" s="23"/>
      <x:c r="AG154" s="23"/>
      <x:c r="AH154" s="22"/>
      <x:c r="AI154" s="20" t="str">
        <x:f>IFERROR(LN(Y154),"")</x:f>
      </x:c>
      <x:c r="AJ154" s="20" t="str">
        <x:f>IFERROR(LN(Z154),"")</x:f>
      </x:c>
      <x:c r="AK154" s="20" t="str">
        <x:f>IFERROR(LN(AA154),"")</x:f>
      </x:c>
      <x:c r="AL154" s="20" t="str">
        <x:f>IFERROR(LN(AB154),"")</x:f>
      </x:c>
      <x:c r="AM154" s="20" t="str">
        <x:f>IFERROR(LN(AC154),"")</x:f>
      </x:c>
      <x:c r="AN154" s="20" t="str">
        <x:f>IFERROR(LN(AD154),"")</x:f>
      </x:c>
      <x:c r="AO154" s="20" t="str">
        <x:f>IFERROR(LN(AE154),"")</x:f>
      </x:c>
      <x:c r="AP154" s="20" t="str">
        <x:f>IFERROR(LN(AF154),"")</x:f>
      </x:c>
      <x:c r="AQ154" s="20" t="str">
        <x:f>IFERROR(LN(AG154),"")</x:f>
      </x:c>
    </x:row>
    <x:row r="155" ht="15" hidden="0" customHeight="1">
      <x:c r="A155" s="22"/>
      <x:c r="B155" s="32"/>
      <x:c r="C155" s="22"/>
      <x:c r="D155" s="22"/>
      <x:c r="E155" s="22"/>
      <x:c r="F155" s="33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  <x:c r="AA155" s="23"/>
      <x:c r="AB155" s="23"/>
      <x:c r="AC155" s="23"/>
      <x:c r="AD155" s="23"/>
      <x:c r="AE155" s="23"/>
      <x:c r="AF155" s="23"/>
      <x:c r="AG155" s="23"/>
      <x:c r="AH155" s="22"/>
      <x:c r="AI155" s="20" t="str">
        <x:f>IFERROR(LN(Y155),"")</x:f>
      </x:c>
      <x:c r="AJ155" s="20" t="str">
        <x:f>IFERROR(LN(Z155),"")</x:f>
      </x:c>
      <x:c r="AK155" s="20" t="str">
        <x:f>IFERROR(LN(AA155),"")</x:f>
      </x:c>
      <x:c r="AL155" s="20" t="str">
        <x:f>IFERROR(LN(AB155),"")</x:f>
      </x:c>
      <x:c r="AM155" s="20" t="str">
        <x:f>IFERROR(LN(AC155),"")</x:f>
      </x:c>
      <x:c r="AN155" s="20" t="str">
        <x:f>IFERROR(LN(AD155),"")</x:f>
      </x:c>
      <x:c r="AO155" s="20" t="str">
        <x:f>IFERROR(LN(AE155),"")</x:f>
      </x:c>
      <x:c r="AP155" s="20" t="str">
        <x:f>IFERROR(LN(AF155),"")</x:f>
      </x:c>
      <x:c r="AQ155" s="20" t="str">
        <x:f>IFERROR(LN(AG155),"")</x:f>
      </x:c>
    </x:row>
    <x:row r="156" ht="15" hidden="0" customHeight="1">
      <x:c r="A156" s="22"/>
      <x:c r="B156" s="32"/>
      <x:c r="C156" s="22"/>
      <x:c r="D156" s="22"/>
      <x:c r="E156" s="22"/>
      <x:c r="F156" s="33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2"/>
      <x:c r="AI156" s="20" t="str">
        <x:f>IFERROR(LN(Y156),"")</x:f>
      </x:c>
      <x:c r="AJ156" s="20" t="str">
        <x:f>IFERROR(LN(Z156),"")</x:f>
      </x:c>
      <x:c r="AK156" s="20" t="str">
        <x:f>IFERROR(LN(AA156),"")</x:f>
      </x:c>
      <x:c r="AL156" s="20" t="str">
        <x:f>IFERROR(LN(AB156),"")</x:f>
      </x:c>
      <x:c r="AM156" s="20" t="str">
        <x:f>IFERROR(LN(AC156),"")</x:f>
      </x:c>
      <x:c r="AN156" s="20" t="str">
        <x:f>IFERROR(LN(AD156),"")</x:f>
      </x:c>
      <x:c r="AO156" s="20" t="str">
        <x:f>IFERROR(LN(AE156),"")</x:f>
      </x:c>
      <x:c r="AP156" s="20" t="str">
        <x:f>IFERROR(LN(AF156),"")</x:f>
      </x:c>
      <x:c r="AQ156" s="20" t="str">
        <x:f>IFERROR(LN(AG156),"")</x:f>
      </x:c>
    </x:row>
    <x:row r="157" ht="15" hidden="0" customHeight="1">
      <x:c r="A157" s="22"/>
      <x:c r="B157" s="32"/>
      <x:c r="C157" s="22"/>
      <x:c r="D157" s="22"/>
      <x:c r="E157" s="22"/>
      <x:c r="F157" s="33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2"/>
      <x:c r="AI157" s="20" t="str">
        <x:f>IFERROR(LN(Y157),"")</x:f>
      </x:c>
      <x:c r="AJ157" s="20" t="str">
        <x:f>IFERROR(LN(Z157),"")</x:f>
      </x:c>
      <x:c r="AK157" s="20" t="str">
        <x:f>IFERROR(LN(AA157),"")</x:f>
      </x:c>
      <x:c r="AL157" s="20" t="str">
        <x:f>IFERROR(LN(AB157),"")</x:f>
      </x:c>
      <x:c r="AM157" s="20" t="str">
        <x:f>IFERROR(LN(AC157),"")</x:f>
      </x:c>
      <x:c r="AN157" s="20" t="str">
        <x:f>IFERROR(LN(AD157),"")</x:f>
      </x:c>
      <x:c r="AO157" s="20" t="str">
        <x:f>IFERROR(LN(AE157),"")</x:f>
      </x:c>
      <x:c r="AP157" s="20" t="str">
        <x:f>IFERROR(LN(AF157),"")</x:f>
      </x:c>
      <x:c r="AQ157" s="20" t="str">
        <x:f>IFERROR(LN(AG157),"")</x:f>
      </x:c>
    </x:row>
    <x:row r="158" ht="15" hidden="0" customHeight="1">
      <x:c r="A158" s="22"/>
      <x:c r="B158" s="32"/>
      <x:c r="C158" s="22"/>
      <x:c r="D158" s="22"/>
      <x:c r="E158" s="22"/>
      <x:c r="F158" s="33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2"/>
      <x:c r="AI158" s="20" t="str">
        <x:f>IFERROR(LN(Y158),"")</x:f>
      </x:c>
      <x:c r="AJ158" s="20" t="str">
        <x:f>IFERROR(LN(Z158),"")</x:f>
      </x:c>
      <x:c r="AK158" s="20" t="str">
        <x:f>IFERROR(LN(AA158),"")</x:f>
      </x:c>
      <x:c r="AL158" s="20" t="str">
        <x:f>IFERROR(LN(AB158),"")</x:f>
      </x:c>
      <x:c r="AM158" s="20" t="str">
        <x:f>IFERROR(LN(AC158),"")</x:f>
      </x:c>
      <x:c r="AN158" s="20" t="str">
        <x:f>IFERROR(LN(AD158),"")</x:f>
      </x:c>
      <x:c r="AO158" s="20" t="str">
        <x:f>IFERROR(LN(AE158),"")</x:f>
      </x:c>
      <x:c r="AP158" s="20" t="str">
        <x:f>IFERROR(LN(AF158),"")</x:f>
      </x:c>
      <x:c r="AQ158" s="20" t="str">
        <x:f>IFERROR(LN(AG158),"")</x:f>
      </x:c>
    </x:row>
    <x:row r="159" ht="15" hidden="0" customHeight="1">
      <x:c r="A159" s="22"/>
      <x:c r="B159" s="32"/>
      <x:c r="C159" s="22"/>
      <x:c r="D159" s="22"/>
      <x:c r="E159" s="22"/>
      <x:c r="F159" s="33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  <x:c r="AA159" s="23"/>
      <x:c r="AB159" s="23"/>
      <x:c r="AC159" s="23"/>
      <x:c r="AD159" s="23"/>
      <x:c r="AE159" s="23"/>
      <x:c r="AF159" s="23"/>
      <x:c r="AG159" s="23"/>
      <x:c r="AH159" s="22"/>
      <x:c r="AI159" s="20" t="str">
        <x:f>IFERROR(LN(Y159),"")</x:f>
      </x:c>
      <x:c r="AJ159" s="20" t="str">
        <x:f>IFERROR(LN(Z159),"")</x:f>
      </x:c>
      <x:c r="AK159" s="20" t="str">
        <x:f>IFERROR(LN(AA159),"")</x:f>
      </x:c>
      <x:c r="AL159" s="20" t="str">
        <x:f>IFERROR(LN(AB159),"")</x:f>
      </x:c>
      <x:c r="AM159" s="20" t="str">
        <x:f>IFERROR(LN(AC159),"")</x:f>
      </x:c>
      <x:c r="AN159" s="20" t="str">
        <x:f>IFERROR(LN(AD159),"")</x:f>
      </x:c>
      <x:c r="AO159" s="20" t="str">
        <x:f>IFERROR(LN(AE159),"")</x:f>
      </x:c>
      <x:c r="AP159" s="20" t="str">
        <x:f>IFERROR(LN(AF159),"")</x:f>
      </x:c>
      <x:c r="AQ159" s="20" t="str">
        <x:f>IFERROR(LN(AG159),"")</x:f>
      </x:c>
    </x:row>
    <x:row r="160" ht="15" hidden="0" customHeight="1">
      <x:c r="A160" s="22"/>
      <x:c r="B160" s="32"/>
      <x:c r="C160" s="22"/>
      <x:c r="D160" s="22"/>
      <x:c r="E160" s="22"/>
      <x:c r="F160" s="33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  <x:c r="AA160" s="23"/>
      <x:c r="AB160" s="23"/>
      <x:c r="AC160" s="23"/>
      <x:c r="AD160" s="23"/>
      <x:c r="AE160" s="23"/>
      <x:c r="AF160" s="23"/>
      <x:c r="AG160" s="23"/>
      <x:c r="AH160" s="22"/>
      <x:c r="AI160" s="20" t="str">
        <x:f>IFERROR(LN(Y160),"")</x:f>
      </x:c>
      <x:c r="AJ160" s="20" t="str">
        <x:f>IFERROR(LN(Z160),"")</x:f>
      </x:c>
      <x:c r="AK160" s="20" t="str">
        <x:f>IFERROR(LN(AA160),"")</x:f>
      </x:c>
      <x:c r="AL160" s="20" t="str">
        <x:f>IFERROR(LN(AB160),"")</x:f>
      </x:c>
      <x:c r="AM160" s="20" t="str">
        <x:f>IFERROR(LN(AC160),"")</x:f>
      </x:c>
      <x:c r="AN160" s="20" t="str">
        <x:f>IFERROR(LN(AD160),"")</x:f>
      </x:c>
      <x:c r="AO160" s="20" t="str">
        <x:f>IFERROR(LN(AE160),"")</x:f>
      </x:c>
      <x:c r="AP160" s="20" t="str">
        <x:f>IFERROR(LN(AF160),"")</x:f>
      </x:c>
      <x:c r="AQ160" s="20" t="str">
        <x:f>IFERROR(LN(AG160),"")</x:f>
      </x:c>
    </x:row>
    <x:row r="161" ht="15" hidden="0" customHeight="1">
      <x:c r="A161" s="22"/>
      <x:c r="B161" s="32"/>
      <x:c r="C161" s="22"/>
      <x:c r="D161" s="22"/>
      <x:c r="E161" s="22"/>
      <x:c r="F161" s="33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  <x:c r="AA161" s="23"/>
      <x:c r="AB161" s="23"/>
      <x:c r="AC161" s="23"/>
      <x:c r="AD161" s="23"/>
      <x:c r="AE161" s="23"/>
      <x:c r="AF161" s="23"/>
      <x:c r="AG161" s="23"/>
      <x:c r="AH161" s="22"/>
      <x:c r="AI161" s="20" t="str">
        <x:f>IFERROR(LN(Y161),"")</x:f>
      </x:c>
      <x:c r="AJ161" s="20" t="str">
        <x:f>IFERROR(LN(Z161),"")</x:f>
      </x:c>
      <x:c r="AK161" s="20" t="str">
        <x:f>IFERROR(LN(AA161),"")</x:f>
      </x:c>
      <x:c r="AL161" s="20" t="str">
        <x:f>IFERROR(LN(AB161),"")</x:f>
      </x:c>
      <x:c r="AM161" s="20" t="str">
        <x:f>IFERROR(LN(AC161),"")</x:f>
      </x:c>
      <x:c r="AN161" s="20" t="str">
        <x:f>IFERROR(LN(AD161),"")</x:f>
      </x:c>
      <x:c r="AO161" s="20" t="str">
        <x:f>IFERROR(LN(AE161),"")</x:f>
      </x:c>
      <x:c r="AP161" s="20" t="str">
        <x:f>IFERROR(LN(AF161),"")</x:f>
      </x:c>
      <x:c r="AQ161" s="20" t="str">
        <x:f>IFERROR(LN(AG161),"")</x:f>
      </x:c>
    </x:row>
    <x:row r="162" ht="15" hidden="0" customHeight="1">
      <x:c r="A162" s="22"/>
      <x:c r="B162" s="32"/>
      <x:c r="C162" s="22"/>
      <x:c r="D162" s="22"/>
      <x:c r="E162" s="22"/>
      <x:c r="F162" s="33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  <x:c r="AA162" s="23"/>
      <x:c r="AB162" s="23"/>
      <x:c r="AC162" s="23"/>
      <x:c r="AD162" s="23"/>
      <x:c r="AE162" s="23"/>
      <x:c r="AF162" s="23"/>
      <x:c r="AG162" s="23"/>
      <x:c r="AH162" s="22"/>
      <x:c r="AI162" s="20" t="str">
        <x:f>IFERROR(LN(Y162),"")</x:f>
      </x:c>
      <x:c r="AJ162" s="20" t="str">
        <x:f>IFERROR(LN(Z162),"")</x:f>
      </x:c>
      <x:c r="AK162" s="20" t="str">
        <x:f>IFERROR(LN(AA162),"")</x:f>
      </x:c>
      <x:c r="AL162" s="20" t="str">
        <x:f>IFERROR(LN(AB162),"")</x:f>
      </x:c>
      <x:c r="AM162" s="20" t="str">
        <x:f>IFERROR(LN(AC162),"")</x:f>
      </x:c>
      <x:c r="AN162" s="20" t="str">
        <x:f>IFERROR(LN(AD162),"")</x:f>
      </x:c>
      <x:c r="AO162" s="20" t="str">
        <x:f>IFERROR(LN(AE162),"")</x:f>
      </x:c>
      <x:c r="AP162" s="20" t="str">
        <x:f>IFERROR(LN(AF162),"")</x:f>
      </x:c>
      <x:c r="AQ162" s="20" t="str">
        <x:f>IFERROR(LN(AG162),"")</x:f>
      </x:c>
    </x:row>
    <x:row r="163" ht="15" hidden="0" customHeight="1">
      <x:c r="A163" s="22"/>
      <x:c r="B163" s="32"/>
      <x:c r="C163" s="22"/>
      <x:c r="D163" s="22"/>
      <x:c r="E163" s="22"/>
      <x:c r="F163" s="33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  <x:c r="AA163" s="23"/>
      <x:c r="AB163" s="23"/>
      <x:c r="AC163" s="23"/>
      <x:c r="AD163" s="23"/>
      <x:c r="AE163" s="23"/>
      <x:c r="AF163" s="23"/>
      <x:c r="AG163" s="23"/>
      <x:c r="AH163" s="22"/>
      <x:c r="AI163" s="20" t="str">
        <x:f>IFERROR(LN(Y163),"")</x:f>
      </x:c>
      <x:c r="AJ163" s="20" t="str">
        <x:f>IFERROR(LN(Z163),"")</x:f>
      </x:c>
      <x:c r="AK163" s="20" t="str">
        <x:f>IFERROR(LN(AA163),"")</x:f>
      </x:c>
      <x:c r="AL163" s="20" t="str">
        <x:f>IFERROR(LN(AB163),"")</x:f>
      </x:c>
      <x:c r="AM163" s="20" t="str">
        <x:f>IFERROR(LN(AC163),"")</x:f>
      </x:c>
      <x:c r="AN163" s="20" t="str">
        <x:f>IFERROR(LN(AD163),"")</x:f>
      </x:c>
      <x:c r="AO163" s="20" t="str">
        <x:f>IFERROR(LN(AE163),"")</x:f>
      </x:c>
      <x:c r="AP163" s="20" t="str">
        <x:f>IFERROR(LN(AF163),"")</x:f>
      </x:c>
      <x:c r="AQ163" s="20" t="str">
        <x:f>IFERROR(LN(AG163),"")</x:f>
      </x:c>
    </x:row>
    <x:row r="164" ht="15" hidden="0" customHeight="1">
      <x:c r="A164" s="22"/>
      <x:c r="B164" s="32"/>
      <x:c r="C164" s="22"/>
      <x:c r="D164" s="22"/>
      <x:c r="E164" s="22"/>
      <x:c r="F164" s="33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  <x:c r="AA164" s="23"/>
      <x:c r="AB164" s="23"/>
      <x:c r="AC164" s="23"/>
      <x:c r="AD164" s="23"/>
      <x:c r="AE164" s="23"/>
      <x:c r="AF164" s="23"/>
      <x:c r="AG164" s="23"/>
      <x:c r="AH164" s="22"/>
      <x:c r="AI164" s="20" t="str">
        <x:f>IFERROR(LN(Y164),"")</x:f>
      </x:c>
      <x:c r="AJ164" s="20" t="str">
        <x:f>IFERROR(LN(Z164),"")</x:f>
      </x:c>
      <x:c r="AK164" s="20" t="str">
        <x:f>IFERROR(LN(AA164),"")</x:f>
      </x:c>
      <x:c r="AL164" s="20" t="str">
        <x:f>IFERROR(LN(AB164),"")</x:f>
      </x:c>
      <x:c r="AM164" s="20" t="str">
        <x:f>IFERROR(LN(AC164),"")</x:f>
      </x:c>
      <x:c r="AN164" s="20" t="str">
        <x:f>IFERROR(LN(AD164),"")</x:f>
      </x:c>
      <x:c r="AO164" s="20" t="str">
        <x:f>IFERROR(LN(AE164),"")</x:f>
      </x:c>
      <x:c r="AP164" s="20" t="str">
        <x:f>IFERROR(LN(AF164),"")</x:f>
      </x:c>
      <x:c r="AQ164" s="20" t="str">
        <x:f>IFERROR(LN(AG164),"")</x:f>
      </x:c>
    </x:row>
    <x:row r="165" ht="15" hidden="0" customHeight="1">
      <x:c r="A165" s="22"/>
      <x:c r="B165" s="32"/>
      <x:c r="C165" s="22"/>
      <x:c r="D165" s="22"/>
      <x:c r="E165" s="22"/>
      <x:c r="F165" s="33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  <x:c r="AA165" s="23"/>
      <x:c r="AB165" s="23"/>
      <x:c r="AC165" s="23"/>
      <x:c r="AD165" s="23"/>
      <x:c r="AE165" s="23"/>
      <x:c r="AF165" s="23"/>
      <x:c r="AG165" s="23"/>
      <x:c r="AH165" s="22"/>
      <x:c r="AI165" s="20" t="str">
        <x:f>IFERROR(LN(Y165),"")</x:f>
      </x:c>
      <x:c r="AJ165" s="20" t="str">
        <x:f>IFERROR(LN(Z165),"")</x:f>
      </x:c>
      <x:c r="AK165" s="20" t="str">
        <x:f>IFERROR(LN(AA165),"")</x:f>
      </x:c>
      <x:c r="AL165" s="20" t="str">
        <x:f>IFERROR(LN(AB165),"")</x:f>
      </x:c>
      <x:c r="AM165" s="20" t="str">
        <x:f>IFERROR(LN(AC165),"")</x:f>
      </x:c>
      <x:c r="AN165" s="20" t="str">
        <x:f>IFERROR(LN(AD165),"")</x:f>
      </x:c>
      <x:c r="AO165" s="20" t="str">
        <x:f>IFERROR(LN(AE165),"")</x:f>
      </x:c>
      <x:c r="AP165" s="20" t="str">
        <x:f>IFERROR(LN(AF165),"")</x:f>
      </x:c>
      <x:c r="AQ165" s="20" t="str">
        <x:f>IFERROR(LN(AG165),"")</x:f>
      </x:c>
    </x:row>
    <x:row r="166" ht="15" hidden="0" customHeight="1">
      <x:c r="A166" s="22"/>
      <x:c r="B166" s="32"/>
      <x:c r="C166" s="22"/>
      <x:c r="D166" s="22"/>
      <x:c r="E166" s="22"/>
      <x:c r="F166" s="33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  <x:c r="AA166" s="23"/>
      <x:c r="AB166" s="23"/>
      <x:c r="AC166" s="23"/>
      <x:c r="AD166" s="23"/>
      <x:c r="AE166" s="23"/>
      <x:c r="AF166" s="23"/>
      <x:c r="AG166" s="23"/>
      <x:c r="AH166" s="22"/>
      <x:c r="AI166" s="20" t="str">
        <x:f>IFERROR(LN(Y166),"")</x:f>
      </x:c>
      <x:c r="AJ166" s="20" t="str">
        <x:f>IFERROR(LN(Z166),"")</x:f>
      </x:c>
      <x:c r="AK166" s="20" t="str">
        <x:f>IFERROR(LN(AA166),"")</x:f>
      </x:c>
      <x:c r="AL166" s="20" t="str">
        <x:f>IFERROR(LN(AB166),"")</x:f>
      </x:c>
      <x:c r="AM166" s="20" t="str">
        <x:f>IFERROR(LN(AC166),"")</x:f>
      </x:c>
      <x:c r="AN166" s="20" t="str">
        <x:f>IFERROR(LN(AD166),"")</x:f>
      </x:c>
      <x:c r="AO166" s="20" t="str">
        <x:f>IFERROR(LN(AE166),"")</x:f>
      </x:c>
      <x:c r="AP166" s="20" t="str">
        <x:f>IFERROR(LN(AF166),"")</x:f>
      </x:c>
      <x:c r="AQ166" s="20" t="str">
        <x:f>IFERROR(LN(AG166),"")</x:f>
      </x:c>
    </x:row>
    <x:row r="167" ht="15" hidden="0" customHeight="1">
      <x:c r="A167" s="22"/>
      <x:c r="B167" s="32"/>
      <x:c r="C167" s="22"/>
      <x:c r="D167" s="22"/>
      <x:c r="E167" s="22"/>
      <x:c r="F167" s="33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  <x:c r="AA167" s="23"/>
      <x:c r="AB167" s="23"/>
      <x:c r="AC167" s="23"/>
      <x:c r="AD167" s="23"/>
      <x:c r="AE167" s="23"/>
      <x:c r="AF167" s="23"/>
      <x:c r="AG167" s="23"/>
      <x:c r="AH167" s="22"/>
      <x:c r="AI167" s="20" t="str">
        <x:f>IFERROR(LN(Y167),"")</x:f>
      </x:c>
      <x:c r="AJ167" s="20" t="str">
        <x:f>IFERROR(LN(Z167),"")</x:f>
      </x:c>
      <x:c r="AK167" s="20" t="str">
        <x:f>IFERROR(LN(AA167),"")</x:f>
      </x:c>
      <x:c r="AL167" s="20" t="str">
        <x:f>IFERROR(LN(AB167),"")</x:f>
      </x:c>
      <x:c r="AM167" s="20" t="str">
        <x:f>IFERROR(LN(AC167),"")</x:f>
      </x:c>
      <x:c r="AN167" s="20" t="str">
        <x:f>IFERROR(LN(AD167),"")</x:f>
      </x:c>
      <x:c r="AO167" s="20" t="str">
        <x:f>IFERROR(LN(AE167),"")</x:f>
      </x:c>
      <x:c r="AP167" s="20" t="str">
        <x:f>IFERROR(LN(AF167),"")</x:f>
      </x:c>
      <x:c r="AQ167" s="20" t="str">
        <x:f>IFERROR(LN(AG167),"")</x:f>
      </x:c>
    </x:row>
    <x:row r="168" ht="15" hidden="0" customHeight="1">
      <x:c r="A168" s="22"/>
      <x:c r="B168" s="32"/>
      <x:c r="C168" s="22"/>
      <x:c r="D168" s="22"/>
      <x:c r="E168" s="22"/>
      <x:c r="F168" s="33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  <x:c r="AA168" s="23"/>
      <x:c r="AB168" s="23"/>
      <x:c r="AC168" s="23"/>
      <x:c r="AD168" s="23"/>
      <x:c r="AE168" s="23"/>
      <x:c r="AF168" s="23"/>
      <x:c r="AG168" s="23"/>
      <x:c r="AH168" s="22"/>
      <x:c r="AI168" s="20" t="str">
        <x:f>IFERROR(LN(Y168),"")</x:f>
      </x:c>
      <x:c r="AJ168" s="20" t="str">
        <x:f>IFERROR(LN(Z168),"")</x:f>
      </x:c>
      <x:c r="AK168" s="20" t="str">
        <x:f>IFERROR(LN(AA168),"")</x:f>
      </x:c>
      <x:c r="AL168" s="20" t="str">
        <x:f>IFERROR(LN(AB168),"")</x:f>
      </x:c>
      <x:c r="AM168" s="20" t="str">
        <x:f>IFERROR(LN(AC168),"")</x:f>
      </x:c>
      <x:c r="AN168" s="20" t="str">
        <x:f>IFERROR(LN(AD168),"")</x:f>
      </x:c>
      <x:c r="AO168" s="20" t="str">
        <x:f>IFERROR(LN(AE168),"")</x:f>
      </x:c>
      <x:c r="AP168" s="20" t="str">
        <x:f>IFERROR(LN(AF168),"")</x:f>
      </x:c>
      <x:c r="AQ168" s="20" t="str">
        <x:f>IFERROR(LN(AG168),"")</x:f>
      </x:c>
    </x:row>
    <x:row r="169" ht="15" hidden="0" customHeight="1">
      <x:c r="A169" s="22"/>
      <x:c r="B169" s="32"/>
      <x:c r="C169" s="22"/>
      <x:c r="D169" s="22"/>
      <x:c r="E169" s="22"/>
      <x:c r="F169" s="33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2"/>
      <x:c r="AI169" s="20" t="str">
        <x:f>IFERROR(LN(Y169),"")</x:f>
      </x:c>
      <x:c r="AJ169" s="20" t="str">
        <x:f>IFERROR(LN(Z169),"")</x:f>
      </x:c>
      <x:c r="AK169" s="20" t="str">
        <x:f>IFERROR(LN(AA169),"")</x:f>
      </x:c>
      <x:c r="AL169" s="20" t="str">
        <x:f>IFERROR(LN(AB169),"")</x:f>
      </x:c>
      <x:c r="AM169" s="20" t="str">
        <x:f>IFERROR(LN(AC169),"")</x:f>
      </x:c>
      <x:c r="AN169" s="20" t="str">
        <x:f>IFERROR(LN(AD169),"")</x:f>
      </x:c>
      <x:c r="AO169" s="20" t="str">
        <x:f>IFERROR(LN(AE169),"")</x:f>
      </x:c>
      <x:c r="AP169" s="20" t="str">
        <x:f>IFERROR(LN(AF169),"")</x:f>
      </x:c>
      <x:c r="AQ169" s="20" t="str">
        <x:f>IFERROR(LN(AG169),"")</x:f>
      </x:c>
    </x:row>
    <x:row r="170" ht="15" hidden="0" customHeight="1">
      <x:c r="A170" s="22"/>
      <x:c r="B170" s="32"/>
      <x:c r="C170" s="22"/>
      <x:c r="D170" s="22"/>
      <x:c r="E170" s="22"/>
      <x:c r="F170" s="33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2"/>
      <x:c r="AI170" s="20" t="str">
        <x:f>IFERROR(LN(Y170),"")</x:f>
      </x:c>
      <x:c r="AJ170" s="20" t="str">
        <x:f>IFERROR(LN(Z170),"")</x:f>
      </x:c>
      <x:c r="AK170" s="20" t="str">
        <x:f>IFERROR(LN(AA170),"")</x:f>
      </x:c>
      <x:c r="AL170" s="20" t="str">
        <x:f>IFERROR(LN(AB170),"")</x:f>
      </x:c>
      <x:c r="AM170" s="20" t="str">
        <x:f>IFERROR(LN(AC170),"")</x:f>
      </x:c>
      <x:c r="AN170" s="20" t="str">
        <x:f>IFERROR(LN(AD170),"")</x:f>
      </x:c>
      <x:c r="AO170" s="20" t="str">
        <x:f>IFERROR(LN(AE170),"")</x:f>
      </x:c>
      <x:c r="AP170" s="20" t="str">
        <x:f>IFERROR(LN(AF170),"")</x:f>
      </x:c>
      <x:c r="AQ170" s="20" t="str">
        <x:f>IFERROR(LN(AG170),"")</x:f>
      </x:c>
    </x:row>
    <x:row r="171" ht="15" hidden="0" customHeight="1">
      <x:c r="A171" s="22"/>
      <x:c r="B171" s="32"/>
      <x:c r="C171" s="22"/>
      <x:c r="D171" s="22"/>
      <x:c r="E171" s="22"/>
      <x:c r="F171" s="33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2"/>
      <x:c r="AI171" s="20" t="str">
        <x:f>IFERROR(LN(Y171),"")</x:f>
      </x:c>
      <x:c r="AJ171" s="20" t="str">
        <x:f>IFERROR(LN(Z171),"")</x:f>
      </x:c>
      <x:c r="AK171" s="20" t="str">
        <x:f>IFERROR(LN(AA171),"")</x:f>
      </x:c>
      <x:c r="AL171" s="20" t="str">
        <x:f>IFERROR(LN(AB171),"")</x:f>
      </x:c>
      <x:c r="AM171" s="20" t="str">
        <x:f>IFERROR(LN(AC171),"")</x:f>
      </x:c>
      <x:c r="AN171" s="20" t="str">
        <x:f>IFERROR(LN(AD171),"")</x:f>
      </x:c>
      <x:c r="AO171" s="20" t="str">
        <x:f>IFERROR(LN(AE171),"")</x:f>
      </x:c>
      <x:c r="AP171" s="20" t="str">
        <x:f>IFERROR(LN(AF171),"")</x:f>
      </x:c>
      <x:c r="AQ171" s="20" t="str">
        <x:f>IFERROR(LN(AG171),"")</x:f>
      </x:c>
    </x:row>
    <x:row r="172" ht="15" hidden="0" customHeight="1">
      <x:c r="A172" s="22"/>
      <x:c r="B172" s="32"/>
      <x:c r="C172" s="22"/>
      <x:c r="D172" s="22"/>
      <x:c r="E172" s="22"/>
      <x:c r="F172" s="33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  <x:c r="AA172" s="23"/>
      <x:c r="AB172" s="23"/>
      <x:c r="AC172" s="23"/>
      <x:c r="AD172" s="23"/>
      <x:c r="AE172" s="23"/>
      <x:c r="AF172" s="23"/>
      <x:c r="AG172" s="23"/>
      <x:c r="AH172" s="22"/>
      <x:c r="AI172" s="20" t="str">
        <x:f>IFERROR(LN(Y172),"")</x:f>
      </x:c>
      <x:c r="AJ172" s="20" t="str">
        <x:f>IFERROR(LN(Z172),"")</x:f>
      </x:c>
      <x:c r="AK172" s="20" t="str">
        <x:f>IFERROR(LN(AA172),"")</x:f>
      </x:c>
      <x:c r="AL172" s="20" t="str">
        <x:f>IFERROR(LN(AB172),"")</x:f>
      </x:c>
      <x:c r="AM172" s="20" t="str">
        <x:f>IFERROR(LN(AC172),"")</x:f>
      </x:c>
      <x:c r="AN172" s="20" t="str">
        <x:f>IFERROR(LN(AD172),"")</x:f>
      </x:c>
      <x:c r="AO172" s="20" t="str">
        <x:f>IFERROR(LN(AE172),"")</x:f>
      </x:c>
      <x:c r="AP172" s="20" t="str">
        <x:f>IFERROR(LN(AF172),"")</x:f>
      </x:c>
      <x:c r="AQ172" s="20" t="str">
        <x:f>IFERROR(LN(AG172),"")</x:f>
      </x:c>
    </x:row>
    <x:row r="173" ht="15" hidden="0" customHeight="1">
      <x:c r="A173" s="22"/>
      <x:c r="B173" s="32"/>
      <x:c r="C173" s="22"/>
      <x:c r="D173" s="22"/>
      <x:c r="E173" s="22"/>
      <x:c r="F173" s="33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  <x:c r="AA173" s="23"/>
      <x:c r="AB173" s="23"/>
      <x:c r="AC173" s="23"/>
      <x:c r="AD173" s="23"/>
      <x:c r="AE173" s="23"/>
      <x:c r="AF173" s="23"/>
      <x:c r="AG173" s="23"/>
      <x:c r="AH173" s="22"/>
      <x:c r="AI173" s="20" t="str">
        <x:f>IFERROR(LN(Y173),"")</x:f>
      </x:c>
      <x:c r="AJ173" s="20" t="str">
        <x:f>IFERROR(LN(Z173),"")</x:f>
      </x:c>
      <x:c r="AK173" s="20" t="str">
        <x:f>IFERROR(LN(AA173),"")</x:f>
      </x:c>
      <x:c r="AL173" s="20" t="str">
        <x:f>IFERROR(LN(AB173),"")</x:f>
      </x:c>
      <x:c r="AM173" s="20" t="str">
        <x:f>IFERROR(LN(AC173),"")</x:f>
      </x:c>
      <x:c r="AN173" s="20" t="str">
        <x:f>IFERROR(LN(AD173),"")</x:f>
      </x:c>
      <x:c r="AO173" s="20" t="str">
        <x:f>IFERROR(LN(AE173),"")</x:f>
      </x:c>
      <x:c r="AP173" s="20" t="str">
        <x:f>IFERROR(LN(AF173),"")</x:f>
      </x:c>
      <x:c r="AQ173" s="20" t="str">
        <x:f>IFERROR(LN(AG173),"")</x:f>
      </x:c>
    </x:row>
    <x:row r="174" ht="15" hidden="0" customHeight="1">
      <x:c r="A174" s="22"/>
      <x:c r="B174" s="32"/>
      <x:c r="C174" s="22"/>
      <x:c r="D174" s="22"/>
      <x:c r="E174" s="22"/>
      <x:c r="F174" s="33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  <x:c r="AA174" s="23"/>
      <x:c r="AB174" s="23"/>
      <x:c r="AC174" s="23"/>
      <x:c r="AD174" s="23"/>
      <x:c r="AE174" s="23"/>
      <x:c r="AF174" s="23"/>
      <x:c r="AG174" s="23"/>
      <x:c r="AH174" s="22"/>
      <x:c r="AI174" s="20" t="str">
        <x:f>IFERROR(LN(Y174),"")</x:f>
      </x:c>
      <x:c r="AJ174" s="20" t="str">
        <x:f>IFERROR(LN(Z174),"")</x:f>
      </x:c>
      <x:c r="AK174" s="20" t="str">
        <x:f>IFERROR(LN(AA174),"")</x:f>
      </x:c>
      <x:c r="AL174" s="20" t="str">
        <x:f>IFERROR(LN(AB174),"")</x:f>
      </x:c>
      <x:c r="AM174" s="20" t="str">
        <x:f>IFERROR(LN(AC174),"")</x:f>
      </x:c>
      <x:c r="AN174" s="20" t="str">
        <x:f>IFERROR(LN(AD174),"")</x:f>
      </x:c>
      <x:c r="AO174" s="20" t="str">
        <x:f>IFERROR(LN(AE174),"")</x:f>
      </x:c>
      <x:c r="AP174" s="20" t="str">
        <x:f>IFERROR(LN(AF174),"")</x:f>
      </x:c>
      <x:c r="AQ174" s="20" t="str">
        <x:f>IFERROR(LN(AG174),"")</x:f>
      </x:c>
    </x:row>
    <x:row r="175" ht="15" hidden="0" customHeight="1">
      <x:c r="A175" s="22"/>
      <x:c r="B175" s="32"/>
      <x:c r="C175" s="22"/>
      <x:c r="D175" s="22"/>
      <x:c r="E175" s="22"/>
      <x:c r="F175" s="33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  <x:c r="AA175" s="23"/>
      <x:c r="AB175" s="23"/>
      <x:c r="AC175" s="23"/>
      <x:c r="AD175" s="23"/>
      <x:c r="AE175" s="23"/>
      <x:c r="AF175" s="23"/>
      <x:c r="AG175" s="23"/>
      <x:c r="AH175" s="22"/>
      <x:c r="AI175" s="20" t="str">
        <x:f>IFERROR(LN(Y175),"")</x:f>
      </x:c>
      <x:c r="AJ175" s="20" t="str">
        <x:f>IFERROR(LN(Z175),"")</x:f>
      </x:c>
      <x:c r="AK175" s="20" t="str">
        <x:f>IFERROR(LN(AA175),"")</x:f>
      </x:c>
      <x:c r="AL175" s="20" t="str">
        <x:f>IFERROR(LN(AB175),"")</x:f>
      </x:c>
      <x:c r="AM175" s="20" t="str">
        <x:f>IFERROR(LN(AC175),"")</x:f>
      </x:c>
      <x:c r="AN175" s="20" t="str">
        <x:f>IFERROR(LN(AD175),"")</x:f>
      </x:c>
      <x:c r="AO175" s="20" t="str">
        <x:f>IFERROR(LN(AE175),"")</x:f>
      </x:c>
      <x:c r="AP175" s="20" t="str">
        <x:f>IFERROR(LN(AF175),"")</x:f>
      </x:c>
      <x:c r="AQ175" s="20" t="str">
        <x:f>IFERROR(LN(AG175),"")</x:f>
      </x:c>
    </x:row>
    <x:row r="176" ht="15" hidden="0" customHeight="1">
      <x:c r="A176" s="22"/>
      <x:c r="B176" s="32"/>
      <x:c r="C176" s="22"/>
      <x:c r="D176" s="22"/>
      <x:c r="E176" s="22"/>
      <x:c r="F176" s="33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  <x:c r="AA176" s="23"/>
      <x:c r="AB176" s="23"/>
      <x:c r="AC176" s="23"/>
      <x:c r="AD176" s="23"/>
      <x:c r="AE176" s="23"/>
      <x:c r="AF176" s="23"/>
      <x:c r="AG176" s="23"/>
      <x:c r="AH176" s="22"/>
      <x:c r="AI176" s="20" t="str">
        <x:f>IFERROR(LN(Y176),"")</x:f>
      </x:c>
      <x:c r="AJ176" s="20" t="str">
        <x:f>IFERROR(LN(Z176),"")</x:f>
      </x:c>
      <x:c r="AK176" s="20" t="str">
        <x:f>IFERROR(LN(AA176),"")</x:f>
      </x:c>
      <x:c r="AL176" s="20" t="str">
        <x:f>IFERROR(LN(AB176),"")</x:f>
      </x:c>
      <x:c r="AM176" s="20" t="str">
        <x:f>IFERROR(LN(AC176),"")</x:f>
      </x:c>
      <x:c r="AN176" s="20" t="str">
        <x:f>IFERROR(LN(AD176),"")</x:f>
      </x:c>
      <x:c r="AO176" s="20" t="str">
        <x:f>IFERROR(LN(AE176),"")</x:f>
      </x:c>
      <x:c r="AP176" s="20" t="str">
        <x:f>IFERROR(LN(AF176),"")</x:f>
      </x:c>
      <x:c r="AQ176" s="20" t="str">
        <x:f>IFERROR(LN(AG176),"")</x:f>
      </x:c>
    </x:row>
    <x:row r="177" ht="15" hidden="0" customHeight="1">
      <x:c r="A177" s="22"/>
      <x:c r="B177" s="32"/>
      <x:c r="C177" s="22"/>
      <x:c r="D177" s="22"/>
      <x:c r="E177" s="22"/>
      <x:c r="F177" s="33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  <x:c r="AA177" s="23"/>
      <x:c r="AB177" s="23"/>
      <x:c r="AC177" s="23"/>
      <x:c r="AD177" s="23"/>
      <x:c r="AE177" s="23"/>
      <x:c r="AF177" s="23"/>
      <x:c r="AG177" s="23"/>
      <x:c r="AH177" s="22"/>
      <x:c r="AI177" s="20" t="str">
        <x:f>IFERROR(LN(Y177),"")</x:f>
      </x:c>
      <x:c r="AJ177" s="20" t="str">
        <x:f>IFERROR(LN(Z177),"")</x:f>
      </x:c>
      <x:c r="AK177" s="20" t="str">
        <x:f>IFERROR(LN(AA177),"")</x:f>
      </x:c>
      <x:c r="AL177" s="20" t="str">
        <x:f>IFERROR(LN(AB177),"")</x:f>
      </x:c>
      <x:c r="AM177" s="20" t="str">
        <x:f>IFERROR(LN(AC177),"")</x:f>
      </x:c>
      <x:c r="AN177" s="20" t="str">
        <x:f>IFERROR(LN(AD177),"")</x:f>
      </x:c>
      <x:c r="AO177" s="20" t="str">
        <x:f>IFERROR(LN(AE177),"")</x:f>
      </x:c>
      <x:c r="AP177" s="20" t="str">
        <x:f>IFERROR(LN(AF177),"")</x:f>
      </x:c>
      <x:c r="AQ177" s="20" t="str">
        <x:f>IFERROR(LN(AG177),"")</x:f>
      </x:c>
    </x:row>
    <x:row r="178" ht="15" hidden="0" customHeight="1">
      <x:c r="A178" s="22"/>
      <x:c r="B178" s="32"/>
      <x:c r="C178" s="22"/>
      <x:c r="D178" s="22"/>
      <x:c r="E178" s="22"/>
      <x:c r="F178" s="33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  <x:c r="AA178" s="23"/>
      <x:c r="AB178" s="23"/>
      <x:c r="AC178" s="23"/>
      <x:c r="AD178" s="23"/>
      <x:c r="AE178" s="23"/>
      <x:c r="AF178" s="23"/>
      <x:c r="AG178" s="23"/>
      <x:c r="AH178" s="22"/>
      <x:c r="AI178" s="20" t="str">
        <x:f>IFERROR(LN(Y178),"")</x:f>
      </x:c>
      <x:c r="AJ178" s="20" t="str">
        <x:f>IFERROR(LN(Z178),"")</x:f>
      </x:c>
      <x:c r="AK178" s="20" t="str">
        <x:f>IFERROR(LN(AA178),"")</x:f>
      </x:c>
      <x:c r="AL178" s="20" t="str">
        <x:f>IFERROR(LN(AB178),"")</x:f>
      </x:c>
      <x:c r="AM178" s="20" t="str">
        <x:f>IFERROR(LN(AC178),"")</x:f>
      </x:c>
      <x:c r="AN178" s="20" t="str">
        <x:f>IFERROR(LN(AD178),"")</x:f>
      </x:c>
      <x:c r="AO178" s="20" t="str">
        <x:f>IFERROR(LN(AE178),"")</x:f>
      </x:c>
      <x:c r="AP178" s="20" t="str">
        <x:f>IFERROR(LN(AF178),"")</x:f>
      </x:c>
      <x:c r="AQ178" s="20" t="str">
        <x:f>IFERROR(LN(AG178),"")</x:f>
      </x:c>
    </x:row>
    <x:row r="179" ht="15" hidden="0" customHeight="1">
      <x:c r="A179" s="22"/>
      <x:c r="B179" s="32"/>
      <x:c r="C179" s="22"/>
      <x:c r="D179" s="22"/>
      <x:c r="E179" s="22"/>
      <x:c r="F179" s="33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  <x:c r="AA179" s="23"/>
      <x:c r="AB179" s="23"/>
      <x:c r="AC179" s="23"/>
      <x:c r="AD179" s="23"/>
      <x:c r="AE179" s="23"/>
      <x:c r="AF179" s="23"/>
      <x:c r="AG179" s="23"/>
      <x:c r="AH179" s="22"/>
      <x:c r="AI179" s="20" t="str">
        <x:f>IFERROR(LN(Y179),"")</x:f>
      </x:c>
      <x:c r="AJ179" s="20" t="str">
        <x:f>IFERROR(LN(Z179),"")</x:f>
      </x:c>
      <x:c r="AK179" s="20" t="str">
        <x:f>IFERROR(LN(AA179),"")</x:f>
      </x:c>
      <x:c r="AL179" s="20" t="str">
        <x:f>IFERROR(LN(AB179),"")</x:f>
      </x:c>
      <x:c r="AM179" s="20" t="str">
        <x:f>IFERROR(LN(AC179),"")</x:f>
      </x:c>
      <x:c r="AN179" s="20" t="str">
        <x:f>IFERROR(LN(AD179),"")</x:f>
      </x:c>
      <x:c r="AO179" s="20" t="str">
        <x:f>IFERROR(LN(AE179),"")</x:f>
      </x:c>
      <x:c r="AP179" s="20" t="str">
        <x:f>IFERROR(LN(AF179),"")</x:f>
      </x:c>
      <x:c r="AQ179" s="20" t="str">
        <x:f>IFERROR(LN(AG179),"")</x:f>
      </x:c>
    </x:row>
    <x:row r="180" ht="15" hidden="0" customHeight="1">
      <x:c r="A180" s="22"/>
      <x:c r="B180" s="32"/>
      <x:c r="C180" s="22"/>
      <x:c r="D180" s="22"/>
      <x:c r="E180" s="22"/>
      <x:c r="F180" s="33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  <x:c r="AA180" s="23"/>
      <x:c r="AB180" s="23"/>
      <x:c r="AC180" s="23"/>
      <x:c r="AD180" s="23"/>
      <x:c r="AE180" s="23"/>
      <x:c r="AF180" s="23"/>
      <x:c r="AG180" s="23"/>
      <x:c r="AH180" s="22"/>
      <x:c r="AI180" s="20" t="str">
        <x:f>IFERROR(LN(Y180),"")</x:f>
      </x:c>
      <x:c r="AJ180" s="20" t="str">
        <x:f>IFERROR(LN(Z180),"")</x:f>
      </x:c>
      <x:c r="AK180" s="20" t="str">
        <x:f>IFERROR(LN(AA180),"")</x:f>
      </x:c>
      <x:c r="AL180" s="20" t="str">
        <x:f>IFERROR(LN(AB180),"")</x:f>
      </x:c>
      <x:c r="AM180" s="20" t="str">
        <x:f>IFERROR(LN(AC180),"")</x:f>
      </x:c>
      <x:c r="AN180" s="20" t="str">
        <x:f>IFERROR(LN(AD180),"")</x:f>
      </x:c>
      <x:c r="AO180" s="20" t="str">
        <x:f>IFERROR(LN(AE180),"")</x:f>
      </x:c>
      <x:c r="AP180" s="20" t="str">
        <x:f>IFERROR(LN(AF180),"")</x:f>
      </x:c>
      <x:c r="AQ180" s="20" t="str">
        <x:f>IFERROR(LN(AG180),"")</x:f>
      </x:c>
    </x:row>
    <x:row r="181" ht="15" hidden="0" customHeight="1">
      <x:c r="A181" s="22"/>
      <x:c r="B181" s="32"/>
      <x:c r="C181" s="22"/>
      <x:c r="D181" s="22"/>
      <x:c r="E181" s="22"/>
      <x:c r="F181" s="33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  <x:c r="AA181" s="23"/>
      <x:c r="AB181" s="23"/>
      <x:c r="AC181" s="23"/>
      <x:c r="AD181" s="23"/>
      <x:c r="AE181" s="23"/>
      <x:c r="AF181" s="23"/>
      <x:c r="AG181" s="23"/>
      <x:c r="AH181" s="22"/>
      <x:c r="AI181" s="20" t="str">
        <x:f>IFERROR(LN(Y181),"")</x:f>
      </x:c>
      <x:c r="AJ181" s="20" t="str">
        <x:f>IFERROR(LN(Z181),"")</x:f>
      </x:c>
      <x:c r="AK181" s="20" t="str">
        <x:f>IFERROR(LN(AA181),"")</x:f>
      </x:c>
      <x:c r="AL181" s="20" t="str">
        <x:f>IFERROR(LN(AB181),"")</x:f>
      </x:c>
      <x:c r="AM181" s="20" t="str">
        <x:f>IFERROR(LN(AC181),"")</x:f>
      </x:c>
      <x:c r="AN181" s="20" t="str">
        <x:f>IFERROR(LN(AD181),"")</x:f>
      </x:c>
      <x:c r="AO181" s="20" t="str">
        <x:f>IFERROR(LN(AE181),"")</x:f>
      </x:c>
      <x:c r="AP181" s="20" t="str">
        <x:f>IFERROR(LN(AF181),"")</x:f>
      </x:c>
      <x:c r="AQ181" s="20" t="str">
        <x:f>IFERROR(LN(AG181),"")</x:f>
      </x:c>
    </x:row>
    <x:row r="182" ht="15" hidden="0" customHeight="1">
      <x:c r="A182" s="22"/>
      <x:c r="B182" s="32"/>
      <x:c r="C182" s="22"/>
      <x:c r="D182" s="22"/>
      <x:c r="E182" s="22"/>
      <x:c r="F182" s="33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2"/>
      <x:c r="AI182" s="20" t="str">
        <x:f>IFERROR(LN(Y182),"")</x:f>
      </x:c>
      <x:c r="AJ182" s="20" t="str">
        <x:f>IFERROR(LN(Z182),"")</x:f>
      </x:c>
      <x:c r="AK182" s="20" t="str">
        <x:f>IFERROR(LN(AA182),"")</x:f>
      </x:c>
      <x:c r="AL182" s="20" t="str">
        <x:f>IFERROR(LN(AB182),"")</x:f>
      </x:c>
      <x:c r="AM182" s="20" t="str">
        <x:f>IFERROR(LN(AC182),"")</x:f>
      </x:c>
      <x:c r="AN182" s="20" t="str">
        <x:f>IFERROR(LN(AD182),"")</x:f>
      </x:c>
      <x:c r="AO182" s="20" t="str">
        <x:f>IFERROR(LN(AE182),"")</x:f>
      </x:c>
      <x:c r="AP182" s="20" t="str">
        <x:f>IFERROR(LN(AF182),"")</x:f>
      </x:c>
      <x:c r="AQ182" s="20" t="str">
        <x:f>IFERROR(LN(AG182),"")</x:f>
      </x:c>
    </x:row>
    <x:row r="183" ht="15" hidden="0" customHeight="1">
      <x:c r="A183" s="22"/>
      <x:c r="B183" s="32"/>
      <x:c r="C183" s="22"/>
      <x:c r="D183" s="22"/>
      <x:c r="E183" s="22"/>
      <x:c r="F183" s="33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2"/>
      <x:c r="AI183" s="20" t="str">
        <x:f>IFERROR(LN(Y183),"")</x:f>
      </x:c>
      <x:c r="AJ183" s="20" t="str">
        <x:f>IFERROR(LN(Z183),"")</x:f>
      </x:c>
      <x:c r="AK183" s="20" t="str">
        <x:f>IFERROR(LN(AA183),"")</x:f>
      </x:c>
      <x:c r="AL183" s="20" t="str">
        <x:f>IFERROR(LN(AB183),"")</x:f>
      </x:c>
      <x:c r="AM183" s="20" t="str">
        <x:f>IFERROR(LN(AC183),"")</x:f>
      </x:c>
      <x:c r="AN183" s="20" t="str">
        <x:f>IFERROR(LN(AD183),"")</x:f>
      </x:c>
      <x:c r="AO183" s="20" t="str">
        <x:f>IFERROR(LN(AE183),"")</x:f>
      </x:c>
      <x:c r="AP183" s="20" t="str">
        <x:f>IFERROR(LN(AF183),"")</x:f>
      </x:c>
      <x:c r="AQ183" s="20" t="str">
        <x:f>IFERROR(LN(AG183),"")</x:f>
      </x:c>
    </x:row>
    <x:row r="184" ht="15" hidden="0" customHeight="1">
      <x:c r="A184" s="22"/>
      <x:c r="B184" s="32"/>
      <x:c r="C184" s="22"/>
      <x:c r="D184" s="22"/>
      <x:c r="E184" s="22"/>
      <x:c r="F184" s="33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2"/>
      <x:c r="AI184" s="20" t="str">
        <x:f>IFERROR(LN(Y184),"")</x:f>
      </x:c>
      <x:c r="AJ184" s="20" t="str">
        <x:f>IFERROR(LN(Z184),"")</x:f>
      </x:c>
      <x:c r="AK184" s="20" t="str">
        <x:f>IFERROR(LN(AA184),"")</x:f>
      </x:c>
      <x:c r="AL184" s="20" t="str">
        <x:f>IFERROR(LN(AB184),"")</x:f>
      </x:c>
      <x:c r="AM184" s="20" t="str">
        <x:f>IFERROR(LN(AC184),"")</x:f>
      </x:c>
      <x:c r="AN184" s="20" t="str">
        <x:f>IFERROR(LN(AD184),"")</x:f>
      </x:c>
      <x:c r="AO184" s="20" t="str">
        <x:f>IFERROR(LN(AE184),"")</x:f>
      </x:c>
      <x:c r="AP184" s="20" t="str">
        <x:f>IFERROR(LN(AF184),"")</x:f>
      </x:c>
      <x:c r="AQ184" s="20" t="str">
        <x:f>IFERROR(LN(AG184),"")</x:f>
      </x:c>
    </x:row>
    <x:row r="185" ht="15" hidden="0" customHeight="1">
      <x:c r="A185" s="22"/>
      <x:c r="B185" s="32"/>
      <x:c r="C185" s="22"/>
      <x:c r="D185" s="22"/>
      <x:c r="E185" s="22"/>
      <x:c r="F185" s="33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  <x:c r="AA185" s="23"/>
      <x:c r="AB185" s="23"/>
      <x:c r="AC185" s="23"/>
      <x:c r="AD185" s="23"/>
      <x:c r="AE185" s="23"/>
      <x:c r="AF185" s="23"/>
      <x:c r="AG185" s="23"/>
      <x:c r="AH185" s="22"/>
      <x:c r="AI185" s="20" t="str">
        <x:f>IFERROR(LN(Y185),"")</x:f>
      </x:c>
      <x:c r="AJ185" s="20" t="str">
        <x:f>IFERROR(LN(Z185),"")</x:f>
      </x:c>
      <x:c r="AK185" s="20" t="str">
        <x:f>IFERROR(LN(AA185),"")</x:f>
      </x:c>
      <x:c r="AL185" s="20" t="str">
        <x:f>IFERROR(LN(AB185),"")</x:f>
      </x:c>
      <x:c r="AM185" s="20" t="str">
        <x:f>IFERROR(LN(AC185),"")</x:f>
      </x:c>
      <x:c r="AN185" s="20" t="str">
        <x:f>IFERROR(LN(AD185),"")</x:f>
      </x:c>
      <x:c r="AO185" s="20" t="str">
        <x:f>IFERROR(LN(AE185),"")</x:f>
      </x:c>
      <x:c r="AP185" s="20" t="str">
        <x:f>IFERROR(LN(AF185),"")</x:f>
      </x:c>
      <x:c r="AQ185" s="20" t="str">
        <x:f>IFERROR(LN(AG185),"")</x:f>
      </x:c>
    </x:row>
    <x:row r="186" ht="15" hidden="0" customHeight="1">
      <x:c r="A186" s="22"/>
      <x:c r="B186" s="32"/>
      <x:c r="C186" s="22"/>
      <x:c r="D186" s="22"/>
      <x:c r="E186" s="22"/>
      <x:c r="F186" s="33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  <x:c r="AA186" s="23"/>
      <x:c r="AB186" s="23"/>
      <x:c r="AC186" s="23"/>
      <x:c r="AD186" s="23"/>
      <x:c r="AE186" s="23"/>
      <x:c r="AF186" s="23"/>
      <x:c r="AG186" s="23"/>
      <x:c r="AH186" s="22"/>
      <x:c r="AI186" s="20" t="str">
        <x:f>IFERROR(LN(Y186),"")</x:f>
      </x:c>
      <x:c r="AJ186" s="20" t="str">
        <x:f>IFERROR(LN(Z186),"")</x:f>
      </x:c>
      <x:c r="AK186" s="20" t="str">
        <x:f>IFERROR(LN(AA186),"")</x:f>
      </x:c>
      <x:c r="AL186" s="20" t="str">
        <x:f>IFERROR(LN(AB186),"")</x:f>
      </x:c>
      <x:c r="AM186" s="20" t="str">
        <x:f>IFERROR(LN(AC186),"")</x:f>
      </x:c>
      <x:c r="AN186" s="20" t="str">
        <x:f>IFERROR(LN(AD186),"")</x:f>
      </x:c>
      <x:c r="AO186" s="20" t="str">
        <x:f>IFERROR(LN(AE186),"")</x:f>
      </x:c>
      <x:c r="AP186" s="20" t="str">
        <x:f>IFERROR(LN(AF186),"")</x:f>
      </x:c>
      <x:c r="AQ186" s="20" t="str">
        <x:f>IFERROR(LN(AG186),"")</x:f>
      </x:c>
    </x:row>
    <x:row r="187" ht="15" hidden="0" customHeight="1">
      <x:c r="A187" s="22"/>
      <x:c r="B187" s="32"/>
      <x:c r="C187" s="22"/>
      <x:c r="D187" s="22"/>
      <x:c r="E187" s="22"/>
      <x:c r="F187" s="33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  <x:c r="AA187" s="23"/>
      <x:c r="AB187" s="23"/>
      <x:c r="AC187" s="23"/>
      <x:c r="AD187" s="23"/>
      <x:c r="AE187" s="23"/>
      <x:c r="AF187" s="23"/>
      <x:c r="AG187" s="23"/>
      <x:c r="AH187" s="22"/>
      <x:c r="AI187" s="20" t="str">
        <x:f>IFERROR(LN(Y187),"")</x:f>
      </x:c>
      <x:c r="AJ187" s="20" t="str">
        <x:f>IFERROR(LN(Z187),"")</x:f>
      </x:c>
      <x:c r="AK187" s="20" t="str">
        <x:f>IFERROR(LN(AA187),"")</x:f>
      </x:c>
      <x:c r="AL187" s="20" t="str">
        <x:f>IFERROR(LN(AB187),"")</x:f>
      </x:c>
      <x:c r="AM187" s="20" t="str">
        <x:f>IFERROR(LN(AC187),"")</x:f>
      </x:c>
      <x:c r="AN187" s="20" t="str">
        <x:f>IFERROR(LN(AD187),"")</x:f>
      </x:c>
      <x:c r="AO187" s="20" t="str">
        <x:f>IFERROR(LN(AE187),"")</x:f>
      </x:c>
      <x:c r="AP187" s="20" t="str">
        <x:f>IFERROR(LN(AF187),"")</x:f>
      </x:c>
      <x:c r="AQ187" s="20" t="str">
        <x:f>IFERROR(LN(AG187),"")</x:f>
      </x:c>
    </x:row>
    <x:row r="188" ht="15" hidden="0" customHeight="1">
      <x:c r="A188" s="22"/>
      <x:c r="B188" s="32"/>
      <x:c r="C188" s="22"/>
      <x:c r="D188" s="22"/>
      <x:c r="E188" s="22"/>
      <x:c r="F188" s="33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  <x:c r="AA188" s="23"/>
      <x:c r="AB188" s="23"/>
      <x:c r="AC188" s="23"/>
      <x:c r="AD188" s="23"/>
      <x:c r="AE188" s="23"/>
      <x:c r="AF188" s="23"/>
      <x:c r="AG188" s="23"/>
      <x:c r="AH188" s="22"/>
      <x:c r="AI188" s="20" t="str">
        <x:f>IFERROR(LN(Y188),"")</x:f>
      </x:c>
      <x:c r="AJ188" s="20" t="str">
        <x:f>IFERROR(LN(Z188),"")</x:f>
      </x:c>
      <x:c r="AK188" s="20" t="str">
        <x:f>IFERROR(LN(AA188),"")</x:f>
      </x:c>
      <x:c r="AL188" s="20" t="str">
        <x:f>IFERROR(LN(AB188),"")</x:f>
      </x:c>
      <x:c r="AM188" s="20" t="str">
        <x:f>IFERROR(LN(AC188),"")</x:f>
      </x:c>
      <x:c r="AN188" s="20" t="str">
        <x:f>IFERROR(LN(AD188),"")</x:f>
      </x:c>
      <x:c r="AO188" s="20" t="str">
        <x:f>IFERROR(LN(AE188),"")</x:f>
      </x:c>
      <x:c r="AP188" s="20" t="str">
        <x:f>IFERROR(LN(AF188),"")</x:f>
      </x:c>
      <x:c r="AQ188" s="20" t="str">
        <x:f>IFERROR(LN(AG188),"")</x:f>
      </x:c>
    </x:row>
    <x:row r="189" ht="15" hidden="0" customHeight="1">
      <x:c r="A189" s="22"/>
      <x:c r="B189" s="32"/>
      <x:c r="C189" s="22"/>
      <x:c r="D189" s="22"/>
      <x:c r="E189" s="22"/>
      <x:c r="F189" s="33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  <x:c r="AA189" s="23"/>
      <x:c r="AB189" s="23"/>
      <x:c r="AC189" s="23"/>
      <x:c r="AD189" s="23"/>
      <x:c r="AE189" s="23"/>
      <x:c r="AF189" s="23"/>
      <x:c r="AG189" s="23"/>
      <x:c r="AH189" s="22"/>
      <x:c r="AI189" s="20" t="str">
        <x:f>IFERROR(LN(Y189),"")</x:f>
      </x:c>
      <x:c r="AJ189" s="20" t="str">
        <x:f>IFERROR(LN(Z189),"")</x:f>
      </x:c>
      <x:c r="AK189" s="20" t="str">
        <x:f>IFERROR(LN(AA189),"")</x:f>
      </x:c>
      <x:c r="AL189" s="20" t="str">
        <x:f>IFERROR(LN(AB189),"")</x:f>
      </x:c>
      <x:c r="AM189" s="20" t="str">
        <x:f>IFERROR(LN(AC189),"")</x:f>
      </x:c>
      <x:c r="AN189" s="20" t="str">
        <x:f>IFERROR(LN(AD189),"")</x:f>
      </x:c>
      <x:c r="AO189" s="20" t="str">
        <x:f>IFERROR(LN(AE189),"")</x:f>
      </x:c>
      <x:c r="AP189" s="20" t="str">
        <x:f>IFERROR(LN(AF189),"")</x:f>
      </x:c>
      <x:c r="AQ189" s="20" t="str">
        <x:f>IFERROR(LN(AG189),"")</x:f>
      </x:c>
    </x:row>
    <x:row r="190" ht="15" hidden="0" customHeight="1">
      <x:c r="A190" s="22"/>
      <x:c r="B190" s="32"/>
      <x:c r="C190" s="22"/>
      <x:c r="D190" s="22"/>
      <x:c r="E190" s="22"/>
      <x:c r="F190" s="33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  <x:c r="AA190" s="23"/>
      <x:c r="AB190" s="23"/>
      <x:c r="AC190" s="23"/>
      <x:c r="AD190" s="23"/>
      <x:c r="AE190" s="23"/>
      <x:c r="AF190" s="23"/>
      <x:c r="AG190" s="23"/>
      <x:c r="AH190" s="22"/>
      <x:c r="AI190" s="20" t="str">
        <x:f>IFERROR(LN(Y190),"")</x:f>
      </x:c>
      <x:c r="AJ190" s="20" t="str">
        <x:f>IFERROR(LN(Z190),"")</x:f>
      </x:c>
      <x:c r="AK190" s="20" t="str">
        <x:f>IFERROR(LN(AA190),"")</x:f>
      </x:c>
      <x:c r="AL190" s="20" t="str">
        <x:f>IFERROR(LN(AB190),"")</x:f>
      </x:c>
      <x:c r="AM190" s="20" t="str">
        <x:f>IFERROR(LN(AC190),"")</x:f>
      </x:c>
      <x:c r="AN190" s="20" t="str">
        <x:f>IFERROR(LN(AD190),"")</x:f>
      </x:c>
      <x:c r="AO190" s="20" t="str">
        <x:f>IFERROR(LN(AE190),"")</x:f>
      </x:c>
      <x:c r="AP190" s="20" t="str">
        <x:f>IFERROR(LN(AF190),"")</x:f>
      </x:c>
      <x:c r="AQ190" s="20" t="str">
        <x:f>IFERROR(LN(AG190),"")</x:f>
      </x:c>
    </x:row>
    <x:row r="191" ht="15" hidden="0" customHeight="1">
      <x:c r="A191" s="22"/>
      <x:c r="B191" s="32"/>
      <x:c r="C191" s="22"/>
      <x:c r="D191" s="22"/>
      <x:c r="E191" s="22"/>
      <x:c r="F191" s="33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  <x:c r="AA191" s="23"/>
      <x:c r="AB191" s="23"/>
      <x:c r="AC191" s="23"/>
      <x:c r="AD191" s="23"/>
      <x:c r="AE191" s="23"/>
      <x:c r="AF191" s="23"/>
      <x:c r="AG191" s="23"/>
      <x:c r="AH191" s="22"/>
      <x:c r="AI191" s="20" t="str">
        <x:f>IFERROR(LN(Y191),"")</x:f>
      </x:c>
      <x:c r="AJ191" s="20" t="str">
        <x:f>IFERROR(LN(Z191),"")</x:f>
      </x:c>
      <x:c r="AK191" s="20" t="str">
        <x:f>IFERROR(LN(AA191),"")</x:f>
      </x:c>
      <x:c r="AL191" s="20" t="str">
        <x:f>IFERROR(LN(AB191),"")</x:f>
      </x:c>
      <x:c r="AM191" s="20" t="str">
        <x:f>IFERROR(LN(AC191),"")</x:f>
      </x:c>
      <x:c r="AN191" s="20" t="str">
        <x:f>IFERROR(LN(AD191),"")</x:f>
      </x:c>
      <x:c r="AO191" s="20" t="str">
        <x:f>IFERROR(LN(AE191),"")</x:f>
      </x:c>
      <x:c r="AP191" s="20" t="str">
        <x:f>IFERROR(LN(AF191),"")</x:f>
      </x:c>
      <x:c r="AQ191" s="20" t="str">
        <x:f>IFERROR(LN(AG191),"")</x:f>
      </x:c>
    </x:row>
    <x:row r="192" ht="15" hidden="0" customHeight="1">
      <x:c r="A192" s="22"/>
      <x:c r="B192" s="32"/>
      <x:c r="C192" s="22"/>
      <x:c r="D192" s="22"/>
      <x:c r="E192" s="22"/>
      <x:c r="F192" s="33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  <x:c r="AA192" s="23"/>
      <x:c r="AB192" s="23"/>
      <x:c r="AC192" s="23"/>
      <x:c r="AD192" s="23"/>
      <x:c r="AE192" s="23"/>
      <x:c r="AF192" s="23"/>
      <x:c r="AG192" s="23"/>
      <x:c r="AH192" s="22"/>
      <x:c r="AI192" s="20" t="str">
        <x:f>IFERROR(LN(Y192),"")</x:f>
      </x:c>
      <x:c r="AJ192" s="20" t="str">
        <x:f>IFERROR(LN(Z192),"")</x:f>
      </x:c>
      <x:c r="AK192" s="20" t="str">
        <x:f>IFERROR(LN(AA192),"")</x:f>
      </x:c>
      <x:c r="AL192" s="20" t="str">
        <x:f>IFERROR(LN(AB192),"")</x:f>
      </x:c>
      <x:c r="AM192" s="20" t="str">
        <x:f>IFERROR(LN(AC192),"")</x:f>
      </x:c>
      <x:c r="AN192" s="20" t="str">
        <x:f>IFERROR(LN(AD192),"")</x:f>
      </x:c>
      <x:c r="AO192" s="20" t="str">
        <x:f>IFERROR(LN(AE192),"")</x:f>
      </x:c>
      <x:c r="AP192" s="20" t="str">
        <x:f>IFERROR(LN(AF192),"")</x:f>
      </x:c>
      <x:c r="AQ192" s="20" t="str">
        <x:f>IFERROR(LN(AG192),"")</x:f>
      </x:c>
    </x:row>
    <x:row r="193" ht="15" hidden="0" customHeight="1">
      <x:c r="A193" s="22"/>
      <x:c r="B193" s="32"/>
      <x:c r="C193" s="22"/>
      <x:c r="D193" s="22"/>
      <x:c r="E193" s="22"/>
      <x:c r="F193" s="33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  <x:c r="AA193" s="23"/>
      <x:c r="AB193" s="23"/>
      <x:c r="AC193" s="23"/>
      <x:c r="AD193" s="23"/>
      <x:c r="AE193" s="23"/>
      <x:c r="AF193" s="23"/>
      <x:c r="AG193" s="23"/>
      <x:c r="AH193" s="22"/>
      <x:c r="AI193" s="20" t="str">
        <x:f>IFERROR(LN(Y193),"")</x:f>
      </x:c>
      <x:c r="AJ193" s="20" t="str">
        <x:f>IFERROR(LN(Z193),"")</x:f>
      </x:c>
      <x:c r="AK193" s="20" t="str">
        <x:f>IFERROR(LN(AA193),"")</x:f>
      </x:c>
      <x:c r="AL193" s="20" t="str">
        <x:f>IFERROR(LN(AB193),"")</x:f>
      </x:c>
      <x:c r="AM193" s="20" t="str">
        <x:f>IFERROR(LN(AC193),"")</x:f>
      </x:c>
      <x:c r="AN193" s="20" t="str">
        <x:f>IFERROR(LN(AD193),"")</x:f>
      </x:c>
      <x:c r="AO193" s="20" t="str">
        <x:f>IFERROR(LN(AE193),"")</x:f>
      </x:c>
      <x:c r="AP193" s="20" t="str">
        <x:f>IFERROR(LN(AF193),"")</x:f>
      </x:c>
      <x:c r="AQ193" s="20" t="str">
        <x:f>IFERROR(LN(AG193),"")</x:f>
      </x:c>
    </x:row>
    <x:row r="194" ht="15" hidden="0" customHeight="1">
      <x:c r="A194" s="22"/>
      <x:c r="B194" s="32"/>
      <x:c r="C194" s="22"/>
      <x:c r="D194" s="22"/>
      <x:c r="E194" s="22"/>
      <x:c r="F194" s="33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  <x:c r="AA194" s="23"/>
      <x:c r="AB194" s="23"/>
      <x:c r="AC194" s="23"/>
      <x:c r="AD194" s="23"/>
      <x:c r="AE194" s="23"/>
      <x:c r="AF194" s="23"/>
      <x:c r="AG194" s="23"/>
      <x:c r="AH194" s="22"/>
      <x:c r="AI194" s="20" t="str">
        <x:f>IFERROR(LN(Y194),"")</x:f>
      </x:c>
      <x:c r="AJ194" s="20" t="str">
        <x:f>IFERROR(LN(Z194),"")</x:f>
      </x:c>
      <x:c r="AK194" s="20" t="str">
        <x:f>IFERROR(LN(AA194),"")</x:f>
      </x:c>
      <x:c r="AL194" s="20" t="str">
        <x:f>IFERROR(LN(AB194),"")</x:f>
      </x:c>
      <x:c r="AM194" s="20" t="str">
        <x:f>IFERROR(LN(AC194),"")</x:f>
      </x:c>
      <x:c r="AN194" s="20" t="str">
        <x:f>IFERROR(LN(AD194),"")</x:f>
      </x:c>
      <x:c r="AO194" s="20" t="str">
        <x:f>IFERROR(LN(AE194),"")</x:f>
      </x:c>
      <x:c r="AP194" s="20" t="str">
        <x:f>IFERROR(LN(AF194),"")</x:f>
      </x:c>
      <x:c r="AQ194" s="20" t="str">
        <x:f>IFERROR(LN(AG194),"")</x:f>
      </x:c>
    </x:row>
    <x:row r="195" ht="15" hidden="0" customHeight="1">
      <x:c r="A195" s="22"/>
      <x:c r="B195" s="32"/>
      <x:c r="C195" s="22"/>
      <x:c r="D195" s="22"/>
      <x:c r="E195" s="22"/>
      <x:c r="F195" s="33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  <x:c r="AA195" s="23"/>
      <x:c r="AB195" s="23"/>
      <x:c r="AC195" s="23"/>
      <x:c r="AD195" s="23"/>
      <x:c r="AE195" s="23"/>
      <x:c r="AF195" s="23"/>
      <x:c r="AG195" s="23"/>
      <x:c r="AH195" s="22"/>
      <x:c r="AI195" s="20" t="str">
        <x:f>IFERROR(LN(Y195),"")</x:f>
      </x:c>
      <x:c r="AJ195" s="20" t="str">
        <x:f>IFERROR(LN(Z195),"")</x:f>
      </x:c>
      <x:c r="AK195" s="20" t="str">
        <x:f>IFERROR(LN(AA195),"")</x:f>
      </x:c>
      <x:c r="AL195" s="20" t="str">
        <x:f>IFERROR(LN(AB195),"")</x:f>
      </x:c>
      <x:c r="AM195" s="20" t="str">
        <x:f>IFERROR(LN(AC195),"")</x:f>
      </x:c>
      <x:c r="AN195" s="20" t="str">
        <x:f>IFERROR(LN(AD195),"")</x:f>
      </x:c>
      <x:c r="AO195" s="20" t="str">
        <x:f>IFERROR(LN(AE195),"")</x:f>
      </x:c>
      <x:c r="AP195" s="20" t="str">
        <x:f>IFERROR(LN(AF195),"")</x:f>
      </x:c>
      <x:c r="AQ195" s="20" t="str">
        <x:f>IFERROR(LN(AG195),"")</x:f>
      </x:c>
    </x:row>
    <x:row r="196" ht="15" hidden="0" customHeight="1">
      <x:c r="A196" s="22"/>
      <x:c r="B196" s="32"/>
      <x:c r="C196" s="22"/>
      <x:c r="D196" s="22"/>
      <x:c r="E196" s="22"/>
      <x:c r="F196" s="33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  <x:c r="AA196" s="23"/>
      <x:c r="AB196" s="23"/>
      <x:c r="AC196" s="23"/>
      <x:c r="AD196" s="23"/>
      <x:c r="AE196" s="23"/>
      <x:c r="AF196" s="23"/>
      <x:c r="AG196" s="23"/>
      <x:c r="AH196" s="22"/>
      <x:c r="AI196" s="20" t="str">
        <x:f>IFERROR(LN(Y196),"")</x:f>
      </x:c>
      <x:c r="AJ196" s="20" t="str">
        <x:f>IFERROR(LN(Z196),"")</x:f>
      </x:c>
      <x:c r="AK196" s="20" t="str">
        <x:f>IFERROR(LN(AA196),"")</x:f>
      </x:c>
      <x:c r="AL196" s="20" t="str">
        <x:f>IFERROR(LN(AB196),"")</x:f>
      </x:c>
      <x:c r="AM196" s="20" t="str">
        <x:f>IFERROR(LN(AC196),"")</x:f>
      </x:c>
      <x:c r="AN196" s="20" t="str">
        <x:f>IFERROR(LN(AD196),"")</x:f>
      </x:c>
      <x:c r="AO196" s="20" t="str">
        <x:f>IFERROR(LN(AE196),"")</x:f>
      </x:c>
      <x:c r="AP196" s="20" t="str">
        <x:f>IFERROR(LN(AF196),"")</x:f>
      </x:c>
      <x:c r="AQ196" s="20" t="str">
        <x:f>IFERROR(LN(AG196),"")</x:f>
      </x:c>
    </x:row>
    <x:row r="197" ht="15" hidden="0" customHeight="1">
      <x:c r="A197" s="22"/>
      <x:c r="B197" s="32"/>
      <x:c r="C197" s="22"/>
      <x:c r="D197" s="22"/>
      <x:c r="E197" s="22"/>
      <x:c r="F197" s="33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  <x:c r="AA197" s="23"/>
      <x:c r="AB197" s="23"/>
      <x:c r="AC197" s="23"/>
      <x:c r="AD197" s="23"/>
      <x:c r="AE197" s="23"/>
      <x:c r="AF197" s="23"/>
      <x:c r="AG197" s="23"/>
      <x:c r="AH197" s="22"/>
      <x:c r="AI197" s="20" t="str">
        <x:f>IFERROR(LN(Y197),"")</x:f>
      </x:c>
      <x:c r="AJ197" s="20" t="str">
        <x:f>IFERROR(LN(Z197),"")</x:f>
      </x:c>
      <x:c r="AK197" s="20" t="str">
        <x:f>IFERROR(LN(AA197),"")</x:f>
      </x:c>
      <x:c r="AL197" s="20" t="str">
        <x:f>IFERROR(LN(AB197),"")</x:f>
      </x:c>
      <x:c r="AM197" s="20" t="str">
        <x:f>IFERROR(LN(AC197),"")</x:f>
      </x:c>
      <x:c r="AN197" s="20" t="str">
        <x:f>IFERROR(LN(AD197),"")</x:f>
      </x:c>
      <x:c r="AO197" s="20" t="str">
        <x:f>IFERROR(LN(AE197),"")</x:f>
      </x:c>
      <x:c r="AP197" s="20" t="str">
        <x:f>IFERROR(LN(AF197),"")</x:f>
      </x:c>
      <x:c r="AQ197" s="20" t="str">
        <x:f>IFERROR(LN(AG197),"")</x:f>
      </x:c>
    </x:row>
    <x:row r="198" ht="15" hidden="0" customHeight="1">
      <x:c r="A198" s="22"/>
      <x:c r="B198" s="32"/>
      <x:c r="C198" s="22"/>
      <x:c r="D198" s="22"/>
      <x:c r="E198" s="22"/>
      <x:c r="F198" s="33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  <x:c r="AA198" s="23"/>
      <x:c r="AB198" s="23"/>
      <x:c r="AC198" s="23"/>
      <x:c r="AD198" s="23"/>
      <x:c r="AE198" s="23"/>
      <x:c r="AF198" s="23"/>
      <x:c r="AG198" s="23"/>
      <x:c r="AH198" s="22"/>
      <x:c r="AI198" s="20" t="str">
        <x:f>IFERROR(LN(Y198),"")</x:f>
      </x:c>
      <x:c r="AJ198" s="20" t="str">
        <x:f>IFERROR(LN(Z198),"")</x:f>
      </x:c>
      <x:c r="AK198" s="20" t="str">
        <x:f>IFERROR(LN(AA198),"")</x:f>
      </x:c>
      <x:c r="AL198" s="20" t="str">
        <x:f>IFERROR(LN(AB198),"")</x:f>
      </x:c>
      <x:c r="AM198" s="20" t="str">
        <x:f>IFERROR(LN(AC198),"")</x:f>
      </x:c>
      <x:c r="AN198" s="20" t="str">
        <x:f>IFERROR(LN(AD198),"")</x:f>
      </x:c>
      <x:c r="AO198" s="20" t="str">
        <x:f>IFERROR(LN(AE198),"")</x:f>
      </x:c>
      <x:c r="AP198" s="20" t="str">
        <x:f>IFERROR(LN(AF198),"")</x:f>
      </x:c>
      <x:c r="AQ198" s="20" t="str">
        <x:f>IFERROR(LN(AG198),"")</x:f>
      </x:c>
    </x:row>
    <x:row r="199" ht="15" hidden="0" customHeight="1">
      <x:c r="A199" s="22"/>
      <x:c r="B199" s="32"/>
      <x:c r="C199" s="22"/>
      <x:c r="D199" s="22"/>
      <x:c r="E199" s="22"/>
      <x:c r="F199" s="33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  <x:c r="AA199" s="23"/>
      <x:c r="AB199" s="23"/>
      <x:c r="AC199" s="23"/>
      <x:c r="AD199" s="23"/>
      <x:c r="AE199" s="23"/>
      <x:c r="AF199" s="23"/>
      <x:c r="AG199" s="23"/>
      <x:c r="AH199" s="22"/>
      <x:c r="AI199" s="20" t="str">
        <x:f>IFERROR(LN(Y199),"")</x:f>
      </x:c>
      <x:c r="AJ199" s="20" t="str">
        <x:f>IFERROR(LN(Z199),"")</x:f>
      </x:c>
      <x:c r="AK199" s="20" t="str">
        <x:f>IFERROR(LN(AA199),"")</x:f>
      </x:c>
      <x:c r="AL199" s="20" t="str">
        <x:f>IFERROR(LN(AB199),"")</x:f>
      </x:c>
      <x:c r="AM199" s="20" t="str">
        <x:f>IFERROR(LN(AC199),"")</x:f>
      </x:c>
      <x:c r="AN199" s="20" t="str">
        <x:f>IFERROR(LN(AD199),"")</x:f>
      </x:c>
      <x:c r="AO199" s="20" t="str">
        <x:f>IFERROR(LN(AE199),"")</x:f>
      </x:c>
      <x:c r="AP199" s="20" t="str">
        <x:f>IFERROR(LN(AF199),"")</x:f>
      </x:c>
      <x:c r="AQ199" s="20" t="str">
        <x:f>IFERROR(LN(AG199),"")</x:f>
      </x:c>
    </x:row>
    <x:row r="200" ht="15" hidden="0" customHeight="1">
      <x:c r="A200" s="22"/>
      <x:c r="B200" s="32"/>
      <x:c r="C200" s="22"/>
      <x:c r="D200" s="22"/>
      <x:c r="E200" s="22"/>
      <x:c r="F200" s="33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  <x:c r="AA200" s="23"/>
      <x:c r="AB200" s="23"/>
      <x:c r="AC200" s="23"/>
      <x:c r="AD200" s="23"/>
      <x:c r="AE200" s="23"/>
      <x:c r="AF200" s="23"/>
      <x:c r="AG200" s="23"/>
      <x:c r="AH200" s="22"/>
      <x:c r="AI200" s="20" t="str">
        <x:f>IFERROR(LN(Y200),"")</x:f>
      </x:c>
      <x:c r="AJ200" s="20" t="str">
        <x:f>IFERROR(LN(Z200),"")</x:f>
      </x:c>
      <x:c r="AK200" s="20" t="str">
        <x:f>IFERROR(LN(AA200),"")</x:f>
      </x:c>
      <x:c r="AL200" s="20" t="str">
        <x:f>IFERROR(LN(AB200),"")</x:f>
      </x:c>
      <x:c r="AM200" s="20" t="str">
        <x:f>IFERROR(LN(AC200),"")</x:f>
      </x:c>
      <x:c r="AN200" s="20" t="str">
        <x:f>IFERROR(LN(AD200),"")</x:f>
      </x:c>
      <x:c r="AO200" s="20" t="str">
        <x:f>IFERROR(LN(AE200),"")</x:f>
      </x:c>
      <x:c r="AP200" s="20" t="str">
        <x:f>IFERROR(LN(AF200),"")</x:f>
      </x:c>
      <x:c r="AQ200" s="20" t="str">
        <x:f>IFERROR(LN(AG200),"")</x:f>
      </x:c>
    </x:row>
    <x:row r="201" ht="15" hidden="0" customHeight="1">
      <x:c r="A201" s="22"/>
      <x:c r="B201" s="32"/>
      <x:c r="C201" s="22"/>
      <x:c r="D201" s="22"/>
      <x:c r="E201" s="22"/>
      <x:c r="F201" s="33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3"/>
      <x:c r="Q201" s="23"/>
      <x:c r="R201" s="23"/>
      <x:c r="S201" s="23"/>
      <x:c r="T201" s="23"/>
      <x:c r="U201" s="23"/>
      <x:c r="V201" s="23"/>
      <x:c r="W201" s="23"/>
      <x:c r="X201" s="23"/>
      <x:c r="Y201" s="23"/>
      <x:c r="Z201" s="23"/>
      <x:c r="AA201" s="23"/>
      <x:c r="AB201" s="23"/>
      <x:c r="AC201" s="23"/>
      <x:c r="AD201" s="23"/>
      <x:c r="AE201" s="23"/>
      <x:c r="AF201" s="23"/>
      <x:c r="AG201" s="23"/>
      <x:c r="AH201" s="22"/>
      <x:c r="AI201" s="20" t="str">
        <x:f>IFERROR(LN(Y201),"")</x:f>
      </x:c>
      <x:c r="AJ201" s="20" t="str">
        <x:f>IFERROR(LN(Z201),"")</x:f>
      </x:c>
      <x:c r="AK201" s="20" t="str">
        <x:f>IFERROR(LN(AA201),"")</x:f>
      </x:c>
      <x:c r="AL201" s="20" t="str">
        <x:f>IFERROR(LN(AB201),"")</x:f>
      </x:c>
      <x:c r="AM201" s="20" t="str">
        <x:f>IFERROR(LN(AC201),"")</x:f>
      </x:c>
      <x:c r="AN201" s="20" t="str">
        <x:f>IFERROR(LN(AD201),"")</x:f>
      </x:c>
      <x:c r="AO201" s="20" t="str">
        <x:f>IFERROR(LN(AE201),"")</x:f>
      </x:c>
      <x:c r="AP201" s="20" t="str">
        <x:f>IFERROR(LN(AF201),"")</x:f>
      </x:c>
      <x:c r="AQ201" s="20" t="str">
        <x:f>IFERROR(LN(AG201),"")</x:f>
      </x:c>
    </x:row>
    <x:row r="202" ht="15" hidden="0" customHeight="1">
      <x:c r="A202" s="22"/>
      <x:c r="B202" s="32"/>
      <x:c r="C202" s="22"/>
      <x:c r="D202" s="22"/>
      <x:c r="E202" s="22"/>
      <x:c r="F202" s="33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3"/>
      <x:c r="Q202" s="23"/>
      <x:c r="R202" s="23"/>
      <x:c r="S202" s="23"/>
      <x:c r="T202" s="23"/>
      <x:c r="U202" s="23"/>
      <x:c r="V202" s="23"/>
      <x:c r="W202" s="23"/>
      <x:c r="X202" s="23"/>
      <x:c r="Y202" s="23"/>
      <x:c r="Z202" s="23"/>
      <x:c r="AA202" s="23"/>
      <x:c r="AB202" s="23"/>
      <x:c r="AC202" s="23"/>
      <x:c r="AD202" s="23"/>
      <x:c r="AE202" s="23"/>
      <x:c r="AF202" s="23"/>
      <x:c r="AG202" s="23"/>
      <x:c r="AH202" s="22"/>
      <x:c r="AI202" s="20" t="str">
        <x:f>IFERROR(LN(Y202),"")</x:f>
      </x:c>
      <x:c r="AJ202" s="20" t="str">
        <x:f>IFERROR(LN(Z202),"")</x:f>
      </x:c>
      <x:c r="AK202" s="20" t="str">
        <x:f>IFERROR(LN(AA202),"")</x:f>
      </x:c>
      <x:c r="AL202" s="20" t="str">
        <x:f>IFERROR(LN(AB202),"")</x:f>
      </x:c>
      <x:c r="AM202" s="20" t="str">
        <x:f>IFERROR(LN(AC202),"")</x:f>
      </x:c>
      <x:c r="AN202" s="20" t="str">
        <x:f>IFERROR(LN(AD202),"")</x:f>
      </x:c>
      <x:c r="AO202" s="20" t="str">
        <x:f>IFERROR(LN(AE202),"")</x:f>
      </x:c>
      <x:c r="AP202" s="20" t="str">
        <x:f>IFERROR(LN(AF202),"")</x:f>
      </x:c>
      <x:c r="AQ202" s="20" t="str">
        <x:f>IFERROR(LN(AG202),"")</x:f>
      </x:c>
    </x:row>
    <x:row r="203" ht="15" hidden="0" customHeight="1">
      <x:c r="A203" s="22"/>
      <x:c r="B203" s="32"/>
      <x:c r="C203" s="22"/>
      <x:c r="D203" s="22"/>
      <x:c r="E203" s="22"/>
      <x:c r="F203" s="33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3"/>
      <x:c r="Q203" s="23"/>
      <x:c r="R203" s="23"/>
      <x:c r="S203" s="23"/>
      <x:c r="T203" s="23"/>
      <x:c r="U203" s="23"/>
      <x:c r="V203" s="23"/>
      <x:c r="W203" s="23"/>
      <x:c r="X203" s="23"/>
      <x:c r="Y203" s="23"/>
      <x:c r="Z203" s="23"/>
      <x:c r="AA203" s="23"/>
      <x:c r="AB203" s="23"/>
      <x:c r="AC203" s="23"/>
      <x:c r="AD203" s="23"/>
      <x:c r="AE203" s="23"/>
      <x:c r="AF203" s="23"/>
      <x:c r="AG203" s="23"/>
      <x:c r="AH203" s="22"/>
      <x:c r="AI203" s="20" t="str">
        <x:f>IFERROR(LN(Y203),"")</x:f>
      </x:c>
      <x:c r="AJ203" s="20" t="str">
        <x:f>IFERROR(LN(Z203),"")</x:f>
      </x:c>
      <x:c r="AK203" s="20" t="str">
        <x:f>IFERROR(LN(AA203),"")</x:f>
      </x:c>
      <x:c r="AL203" s="20" t="str">
        <x:f>IFERROR(LN(AB203),"")</x:f>
      </x:c>
      <x:c r="AM203" s="20" t="str">
        <x:f>IFERROR(LN(AC203),"")</x:f>
      </x:c>
      <x:c r="AN203" s="20" t="str">
        <x:f>IFERROR(LN(AD203),"")</x:f>
      </x:c>
      <x:c r="AO203" s="20" t="str">
        <x:f>IFERROR(LN(AE203),"")</x:f>
      </x:c>
      <x:c r="AP203" s="20" t="str">
        <x:f>IFERROR(LN(AF203),"")</x:f>
      </x:c>
      <x:c r="AQ203" s="20" t="str">
        <x:f>IFERROR(LN(AG203),"")</x:f>
      </x:c>
    </x:row>
    <x:row r="204" ht="15" hidden="0" customHeight="1">
      <x:c r="A204" s="22"/>
      <x:c r="B204" s="32"/>
      <x:c r="C204" s="22"/>
      <x:c r="D204" s="22"/>
      <x:c r="E204" s="22"/>
      <x:c r="F204" s="33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3"/>
      <x:c r="Q204" s="23"/>
      <x:c r="R204" s="23"/>
      <x:c r="S204" s="23"/>
      <x:c r="T204" s="23"/>
      <x:c r="U204" s="23"/>
      <x:c r="V204" s="23"/>
      <x:c r="W204" s="23"/>
      <x:c r="X204" s="23"/>
      <x:c r="Y204" s="23"/>
      <x:c r="Z204" s="23"/>
      <x:c r="AA204" s="23"/>
      <x:c r="AB204" s="23"/>
      <x:c r="AC204" s="23"/>
      <x:c r="AD204" s="23"/>
      <x:c r="AE204" s="23"/>
      <x:c r="AF204" s="23"/>
      <x:c r="AG204" s="23"/>
      <x:c r="AH204" s="22"/>
      <x:c r="AI204" s="20" t="str">
        <x:f>IFERROR(LN(Y204),"")</x:f>
      </x:c>
      <x:c r="AJ204" s="20" t="str">
        <x:f>IFERROR(LN(Z204),"")</x:f>
      </x:c>
      <x:c r="AK204" s="20" t="str">
        <x:f>IFERROR(LN(AA204),"")</x:f>
      </x:c>
      <x:c r="AL204" s="20" t="str">
        <x:f>IFERROR(LN(AB204),"")</x:f>
      </x:c>
      <x:c r="AM204" s="20" t="str">
        <x:f>IFERROR(LN(AC204),"")</x:f>
      </x:c>
      <x:c r="AN204" s="20" t="str">
        <x:f>IFERROR(LN(AD204),"")</x:f>
      </x:c>
      <x:c r="AO204" s="20" t="str">
        <x:f>IFERROR(LN(AE204),"")</x:f>
      </x:c>
      <x:c r="AP204" s="20" t="str">
        <x:f>IFERROR(LN(AF204),"")</x:f>
      </x:c>
      <x:c r="AQ204" s="20" t="str">
        <x:f>IFERROR(LN(AG204),"")</x:f>
      </x:c>
    </x:row>
    <x:row r="205" ht="15" hidden="0" customHeight="1">
      <x:c r="A205" s="22"/>
      <x:c r="B205" s="32"/>
      <x:c r="C205" s="22"/>
      <x:c r="D205" s="22"/>
      <x:c r="E205" s="22"/>
      <x:c r="F205" s="33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3"/>
      <x:c r="Q205" s="23"/>
      <x:c r="R205" s="23"/>
      <x:c r="S205" s="23"/>
      <x:c r="T205" s="23"/>
      <x:c r="U205" s="23"/>
      <x:c r="V205" s="23"/>
      <x:c r="W205" s="23"/>
      <x:c r="X205" s="23"/>
      <x:c r="Y205" s="23"/>
      <x:c r="Z205" s="23"/>
      <x:c r="AA205" s="23"/>
      <x:c r="AB205" s="23"/>
      <x:c r="AC205" s="23"/>
      <x:c r="AD205" s="23"/>
      <x:c r="AE205" s="23"/>
      <x:c r="AF205" s="23"/>
      <x:c r="AG205" s="23"/>
      <x:c r="AH205" s="22"/>
      <x:c r="AI205" s="20" t="str">
        <x:f>IFERROR(LN(Y205),"")</x:f>
      </x:c>
      <x:c r="AJ205" s="20" t="str">
        <x:f>IFERROR(LN(Z205),"")</x:f>
      </x:c>
      <x:c r="AK205" s="20" t="str">
        <x:f>IFERROR(LN(AA205),"")</x:f>
      </x:c>
      <x:c r="AL205" s="20" t="str">
        <x:f>IFERROR(LN(AB205),"")</x:f>
      </x:c>
      <x:c r="AM205" s="20" t="str">
        <x:f>IFERROR(LN(AC205),"")</x:f>
      </x:c>
      <x:c r="AN205" s="20" t="str">
        <x:f>IFERROR(LN(AD205),"")</x:f>
      </x:c>
      <x:c r="AO205" s="20" t="str">
        <x:f>IFERROR(LN(AE205),"")</x:f>
      </x:c>
      <x:c r="AP205" s="20" t="str">
        <x:f>IFERROR(LN(AF205),"")</x:f>
      </x:c>
      <x:c r="AQ205" s="20" t="str">
        <x:f>IFERROR(LN(AG205),"")</x:f>
      </x:c>
    </x:row>
    <x:row r="206" ht="15" hidden="0" customHeight="1">
      <x:c r="A206" s="22"/>
      <x:c r="B206" s="32"/>
      <x:c r="C206" s="22"/>
      <x:c r="D206" s="22"/>
      <x:c r="E206" s="22"/>
      <x:c r="F206" s="33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3"/>
      <x:c r="Q206" s="23"/>
      <x:c r="R206" s="23"/>
      <x:c r="S206" s="23"/>
      <x:c r="T206" s="23"/>
      <x:c r="U206" s="23"/>
      <x:c r="V206" s="23"/>
      <x:c r="W206" s="23"/>
      <x:c r="X206" s="23"/>
      <x:c r="Y206" s="23"/>
      <x:c r="Z206" s="23"/>
      <x:c r="AA206" s="23"/>
      <x:c r="AB206" s="23"/>
      <x:c r="AC206" s="23"/>
      <x:c r="AD206" s="23"/>
      <x:c r="AE206" s="23"/>
      <x:c r="AF206" s="23"/>
      <x:c r="AG206" s="23"/>
      <x:c r="AH206" s="22"/>
      <x:c r="AI206" s="20" t="str">
        <x:f>IFERROR(LN(Y206),"")</x:f>
      </x:c>
      <x:c r="AJ206" s="20" t="str">
        <x:f>IFERROR(LN(Z206),"")</x:f>
      </x:c>
      <x:c r="AK206" s="20" t="str">
        <x:f>IFERROR(LN(AA206),"")</x:f>
      </x:c>
      <x:c r="AL206" s="20" t="str">
        <x:f>IFERROR(LN(AB206),"")</x:f>
      </x:c>
      <x:c r="AM206" s="20" t="str">
        <x:f>IFERROR(LN(AC206),"")</x:f>
      </x:c>
      <x:c r="AN206" s="20" t="str">
        <x:f>IFERROR(LN(AD206),"")</x:f>
      </x:c>
      <x:c r="AO206" s="20" t="str">
        <x:f>IFERROR(LN(AE206),"")</x:f>
      </x:c>
      <x:c r="AP206" s="20" t="str">
        <x:f>IFERROR(LN(AF206),"")</x:f>
      </x:c>
      <x:c r="AQ206" s="20" t="str">
        <x:f>IFERROR(LN(AG206),"")</x:f>
      </x:c>
    </x:row>
    <x:row r="207" ht="15" hidden="0" customHeight="1">
      <x:c r="A207" s="22"/>
      <x:c r="B207" s="32"/>
      <x:c r="C207" s="22"/>
      <x:c r="D207" s="22"/>
      <x:c r="E207" s="22"/>
      <x:c r="F207" s="33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3"/>
      <x:c r="Q207" s="23"/>
      <x:c r="R207" s="23"/>
      <x:c r="S207" s="23"/>
      <x:c r="T207" s="23"/>
      <x:c r="U207" s="23"/>
      <x:c r="V207" s="23"/>
      <x:c r="W207" s="23"/>
      <x:c r="X207" s="23"/>
      <x:c r="Y207" s="23"/>
      <x:c r="Z207" s="23"/>
      <x:c r="AA207" s="23"/>
      <x:c r="AB207" s="23"/>
      <x:c r="AC207" s="23"/>
      <x:c r="AD207" s="23"/>
      <x:c r="AE207" s="23"/>
      <x:c r="AF207" s="23"/>
      <x:c r="AG207" s="23"/>
      <x:c r="AH207" s="22"/>
      <x:c r="AI207" s="20" t="str">
        <x:f>IFERROR(LN(Y207),"")</x:f>
      </x:c>
      <x:c r="AJ207" s="20" t="str">
        <x:f>IFERROR(LN(Z207),"")</x:f>
      </x:c>
      <x:c r="AK207" s="20" t="str">
        <x:f>IFERROR(LN(AA207),"")</x:f>
      </x:c>
      <x:c r="AL207" s="20" t="str">
        <x:f>IFERROR(LN(AB207),"")</x:f>
      </x:c>
      <x:c r="AM207" s="20" t="str">
        <x:f>IFERROR(LN(AC207),"")</x:f>
      </x:c>
      <x:c r="AN207" s="20" t="str">
        <x:f>IFERROR(LN(AD207),"")</x:f>
      </x:c>
      <x:c r="AO207" s="20" t="str">
        <x:f>IFERROR(LN(AE207),"")</x:f>
      </x:c>
      <x:c r="AP207" s="20" t="str">
        <x:f>IFERROR(LN(AF207),"")</x:f>
      </x:c>
      <x:c r="AQ207" s="20" t="str">
        <x:f>IFERROR(LN(AG207),"")</x:f>
      </x:c>
    </x:row>
    <x:row r="208" ht="15" hidden="0" customHeight="1">
      <x:c r="A208" s="22"/>
      <x:c r="B208" s="32"/>
      <x:c r="C208" s="22"/>
      <x:c r="D208" s="22"/>
      <x:c r="E208" s="22"/>
      <x:c r="F208" s="33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3"/>
      <x:c r="Q208" s="23"/>
      <x:c r="R208" s="23"/>
      <x:c r="S208" s="23"/>
      <x:c r="T208" s="23"/>
      <x:c r="U208" s="23"/>
      <x:c r="V208" s="23"/>
      <x:c r="W208" s="23"/>
      <x:c r="X208" s="23"/>
      <x:c r="Y208" s="23"/>
      <x:c r="Z208" s="23"/>
      <x:c r="AA208" s="23"/>
      <x:c r="AB208" s="23"/>
      <x:c r="AC208" s="23"/>
      <x:c r="AD208" s="23"/>
      <x:c r="AE208" s="23"/>
      <x:c r="AF208" s="23"/>
      <x:c r="AG208" s="23"/>
      <x:c r="AH208" s="22"/>
      <x:c r="AI208" s="20" t="str">
        <x:f>IFERROR(LN(Y208),"")</x:f>
      </x:c>
      <x:c r="AJ208" s="20" t="str">
        <x:f>IFERROR(LN(Z208),"")</x:f>
      </x:c>
      <x:c r="AK208" s="20" t="str">
        <x:f>IFERROR(LN(AA208),"")</x:f>
      </x:c>
      <x:c r="AL208" s="20" t="str">
        <x:f>IFERROR(LN(AB208),"")</x:f>
      </x:c>
      <x:c r="AM208" s="20" t="str">
        <x:f>IFERROR(LN(AC208),"")</x:f>
      </x:c>
      <x:c r="AN208" s="20" t="str">
        <x:f>IFERROR(LN(AD208),"")</x:f>
      </x:c>
      <x:c r="AO208" s="20" t="str">
        <x:f>IFERROR(LN(AE208),"")</x:f>
      </x:c>
      <x:c r="AP208" s="20" t="str">
        <x:f>IFERROR(LN(AF208),"")</x:f>
      </x:c>
      <x:c r="AQ208" s="20" t="str">
        <x:f>IFERROR(LN(AG208),"")</x:f>
      </x:c>
    </x:row>
    <x:row r="209" ht="15" hidden="0" customHeight="1">
      <x:c r="A209" s="22"/>
      <x:c r="B209" s="32"/>
      <x:c r="C209" s="22"/>
      <x:c r="D209" s="22"/>
      <x:c r="E209" s="22"/>
      <x:c r="F209" s="33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3"/>
      <x:c r="Q209" s="23"/>
      <x:c r="R209" s="23"/>
      <x:c r="S209" s="23"/>
      <x:c r="T209" s="23"/>
      <x:c r="U209" s="23"/>
      <x:c r="V209" s="23"/>
      <x:c r="W209" s="23"/>
      <x:c r="X209" s="23"/>
      <x:c r="Y209" s="23"/>
      <x:c r="Z209" s="23"/>
      <x:c r="AA209" s="23"/>
      <x:c r="AB209" s="23"/>
      <x:c r="AC209" s="23"/>
      <x:c r="AD209" s="23"/>
      <x:c r="AE209" s="23"/>
      <x:c r="AF209" s="23"/>
      <x:c r="AG209" s="23"/>
      <x:c r="AH209" s="22"/>
      <x:c r="AI209" s="20" t="str">
        <x:f>IFERROR(LN(Y209),"")</x:f>
      </x:c>
      <x:c r="AJ209" s="20" t="str">
        <x:f>IFERROR(LN(Z209),"")</x:f>
      </x:c>
      <x:c r="AK209" s="20" t="str">
        <x:f>IFERROR(LN(AA209),"")</x:f>
      </x:c>
      <x:c r="AL209" s="20" t="str">
        <x:f>IFERROR(LN(AB209),"")</x:f>
      </x:c>
      <x:c r="AM209" s="20" t="str">
        <x:f>IFERROR(LN(AC209),"")</x:f>
      </x:c>
      <x:c r="AN209" s="20" t="str">
        <x:f>IFERROR(LN(AD209),"")</x:f>
      </x:c>
      <x:c r="AO209" s="20" t="str">
        <x:f>IFERROR(LN(AE209),"")</x:f>
      </x:c>
      <x:c r="AP209" s="20" t="str">
        <x:f>IFERROR(LN(AF209),"")</x:f>
      </x:c>
      <x:c r="AQ209" s="20" t="str">
        <x:f>IFERROR(LN(AG209),"")</x:f>
      </x:c>
    </x:row>
    <x:row r="210" ht="15" hidden="0" customHeight="1">
      <x:c r="A210" s="22"/>
      <x:c r="B210" s="32"/>
      <x:c r="C210" s="22"/>
      <x:c r="D210" s="22"/>
      <x:c r="E210" s="22"/>
      <x:c r="F210" s="33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3"/>
      <x:c r="Q210" s="23"/>
      <x:c r="R210" s="23"/>
      <x:c r="S210" s="23"/>
      <x:c r="T210" s="23"/>
      <x:c r="U210" s="23"/>
      <x:c r="V210" s="23"/>
      <x:c r="W210" s="23"/>
      <x:c r="X210" s="23"/>
      <x:c r="Y210" s="23"/>
      <x:c r="Z210" s="23"/>
      <x:c r="AA210" s="23"/>
      <x:c r="AB210" s="23"/>
      <x:c r="AC210" s="23"/>
      <x:c r="AD210" s="23"/>
      <x:c r="AE210" s="23"/>
      <x:c r="AF210" s="23"/>
      <x:c r="AG210" s="23"/>
      <x:c r="AH210" s="22"/>
      <x:c r="AI210" s="20" t="str">
        <x:f>IFERROR(LN(Y210),"")</x:f>
      </x:c>
      <x:c r="AJ210" s="20" t="str">
        <x:f>IFERROR(LN(Z210),"")</x:f>
      </x:c>
      <x:c r="AK210" s="20" t="str">
        <x:f>IFERROR(LN(AA210),"")</x:f>
      </x:c>
      <x:c r="AL210" s="20" t="str">
        <x:f>IFERROR(LN(AB210),"")</x:f>
      </x:c>
      <x:c r="AM210" s="20" t="str">
        <x:f>IFERROR(LN(AC210),"")</x:f>
      </x:c>
      <x:c r="AN210" s="20" t="str">
        <x:f>IFERROR(LN(AD210),"")</x:f>
      </x:c>
      <x:c r="AO210" s="20" t="str">
        <x:f>IFERROR(LN(AE210),"")</x:f>
      </x:c>
      <x:c r="AP210" s="20" t="str">
        <x:f>IFERROR(LN(AF210),"")</x:f>
      </x:c>
      <x:c r="AQ210" s="20" t="str">
        <x:f>IFERROR(LN(AG210),"")</x:f>
      </x:c>
    </x:row>
    <x:row r="211" ht="15" hidden="0" customHeight="1">
      <x:c r="A211" s="22"/>
      <x:c r="B211" s="32"/>
      <x:c r="C211" s="22"/>
      <x:c r="D211" s="22"/>
      <x:c r="E211" s="22"/>
      <x:c r="F211" s="33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3"/>
      <x:c r="Q211" s="23"/>
      <x:c r="R211" s="23"/>
      <x:c r="S211" s="23"/>
      <x:c r="T211" s="23"/>
      <x:c r="U211" s="23"/>
      <x:c r="V211" s="23"/>
      <x:c r="W211" s="23"/>
      <x:c r="X211" s="23"/>
      <x:c r="Y211" s="23"/>
      <x:c r="Z211" s="23"/>
      <x:c r="AA211" s="23"/>
      <x:c r="AB211" s="23"/>
      <x:c r="AC211" s="23"/>
      <x:c r="AD211" s="23"/>
      <x:c r="AE211" s="23"/>
      <x:c r="AF211" s="23"/>
      <x:c r="AG211" s="23"/>
      <x:c r="AH211" s="22"/>
      <x:c r="AI211" s="20" t="str">
        <x:f>IFERROR(LN(Y211),"")</x:f>
      </x:c>
      <x:c r="AJ211" s="20" t="str">
        <x:f>IFERROR(LN(Z211),"")</x:f>
      </x:c>
      <x:c r="AK211" s="20" t="str">
        <x:f>IFERROR(LN(AA211),"")</x:f>
      </x:c>
      <x:c r="AL211" s="20" t="str">
        <x:f>IFERROR(LN(AB211),"")</x:f>
      </x:c>
      <x:c r="AM211" s="20" t="str">
        <x:f>IFERROR(LN(AC211),"")</x:f>
      </x:c>
      <x:c r="AN211" s="20" t="str">
        <x:f>IFERROR(LN(AD211),"")</x:f>
      </x:c>
      <x:c r="AO211" s="20" t="str">
        <x:f>IFERROR(LN(AE211),"")</x:f>
      </x:c>
      <x:c r="AP211" s="20" t="str">
        <x:f>IFERROR(LN(AF211),"")</x:f>
      </x:c>
      <x:c r="AQ211" s="20" t="str">
        <x:f>IFERROR(LN(AG211),"")</x:f>
      </x:c>
    </x:row>
    <x:row r="212" ht="15" hidden="0" customHeight="1">
      <x:c r="A212" s="22"/>
      <x:c r="B212" s="32"/>
      <x:c r="C212" s="22"/>
      <x:c r="D212" s="22"/>
      <x:c r="E212" s="22"/>
      <x:c r="F212" s="33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3"/>
      <x:c r="Q212" s="23"/>
      <x:c r="R212" s="23"/>
      <x:c r="S212" s="23"/>
      <x:c r="T212" s="23"/>
      <x:c r="U212" s="23"/>
      <x:c r="V212" s="23"/>
      <x:c r="W212" s="23"/>
      <x:c r="X212" s="23"/>
      <x:c r="Y212" s="23"/>
      <x:c r="Z212" s="23"/>
      <x:c r="AA212" s="23"/>
      <x:c r="AB212" s="23"/>
      <x:c r="AC212" s="23"/>
      <x:c r="AD212" s="23"/>
      <x:c r="AE212" s="23"/>
      <x:c r="AF212" s="23"/>
      <x:c r="AG212" s="23"/>
      <x:c r="AH212" s="22"/>
      <x:c r="AI212" s="20" t="str">
        <x:f>IFERROR(LN(Y212),"")</x:f>
      </x:c>
      <x:c r="AJ212" s="20" t="str">
        <x:f>IFERROR(LN(Z212),"")</x:f>
      </x:c>
      <x:c r="AK212" s="20" t="str">
        <x:f>IFERROR(LN(AA212),"")</x:f>
      </x:c>
      <x:c r="AL212" s="20" t="str">
        <x:f>IFERROR(LN(AB212),"")</x:f>
      </x:c>
      <x:c r="AM212" s="20" t="str">
        <x:f>IFERROR(LN(AC212),"")</x:f>
      </x:c>
      <x:c r="AN212" s="20" t="str">
        <x:f>IFERROR(LN(AD212),"")</x:f>
      </x:c>
      <x:c r="AO212" s="20" t="str">
        <x:f>IFERROR(LN(AE212),"")</x:f>
      </x:c>
      <x:c r="AP212" s="20" t="str">
        <x:f>IFERROR(LN(AF212),"")</x:f>
      </x:c>
      <x:c r="AQ212" s="20" t="str">
        <x:f>IFERROR(LN(AG212),"")</x:f>
      </x:c>
    </x:row>
    <x:row r="213" ht="15" hidden="0" customHeight="1">
      <x:c r="A213" s="22"/>
      <x:c r="B213" s="32"/>
      <x:c r="C213" s="22"/>
      <x:c r="D213" s="22"/>
      <x:c r="E213" s="22"/>
      <x:c r="F213" s="33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3"/>
      <x:c r="Q213" s="23"/>
      <x:c r="R213" s="23"/>
      <x:c r="S213" s="23"/>
      <x:c r="T213" s="23"/>
      <x:c r="U213" s="23"/>
      <x:c r="V213" s="23"/>
      <x:c r="W213" s="23"/>
      <x:c r="X213" s="23"/>
      <x:c r="Y213" s="23"/>
      <x:c r="Z213" s="23"/>
      <x:c r="AA213" s="23"/>
      <x:c r="AB213" s="23"/>
      <x:c r="AC213" s="23"/>
      <x:c r="AD213" s="23"/>
      <x:c r="AE213" s="23"/>
      <x:c r="AF213" s="23"/>
      <x:c r="AG213" s="23"/>
      <x:c r="AH213" s="22"/>
      <x:c r="AI213" s="20" t="str">
        <x:f>IFERROR(LN(Y213),"")</x:f>
      </x:c>
      <x:c r="AJ213" s="20" t="str">
        <x:f>IFERROR(LN(Z213),"")</x:f>
      </x:c>
      <x:c r="AK213" s="20" t="str">
        <x:f>IFERROR(LN(AA213),"")</x:f>
      </x:c>
      <x:c r="AL213" s="20" t="str">
        <x:f>IFERROR(LN(AB213),"")</x:f>
      </x:c>
      <x:c r="AM213" s="20" t="str">
        <x:f>IFERROR(LN(AC213),"")</x:f>
      </x:c>
      <x:c r="AN213" s="20" t="str">
        <x:f>IFERROR(LN(AD213),"")</x:f>
      </x:c>
      <x:c r="AO213" s="20" t="str">
        <x:f>IFERROR(LN(AE213),"")</x:f>
      </x:c>
      <x:c r="AP213" s="20" t="str">
        <x:f>IFERROR(LN(AF213),"")</x:f>
      </x:c>
      <x:c r="AQ213" s="20" t="str">
        <x:f>IFERROR(LN(AG213),"")</x:f>
      </x:c>
    </x:row>
    <x:row r="214" ht="15" hidden="0" customHeight="1">
      <x:c r="A214" s="22"/>
      <x:c r="B214" s="32"/>
      <x:c r="C214" s="22"/>
      <x:c r="D214" s="22"/>
      <x:c r="E214" s="22"/>
      <x:c r="F214" s="33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3"/>
      <x:c r="Q214" s="23"/>
      <x:c r="R214" s="23"/>
      <x:c r="S214" s="23"/>
      <x:c r="T214" s="23"/>
      <x:c r="U214" s="23"/>
      <x:c r="V214" s="23"/>
      <x:c r="W214" s="23"/>
      <x:c r="X214" s="23"/>
      <x:c r="Y214" s="23"/>
      <x:c r="Z214" s="23"/>
      <x:c r="AA214" s="23"/>
      <x:c r="AB214" s="23"/>
      <x:c r="AC214" s="23"/>
      <x:c r="AD214" s="23"/>
      <x:c r="AE214" s="23"/>
      <x:c r="AF214" s="23"/>
      <x:c r="AG214" s="23"/>
      <x:c r="AH214" s="22"/>
      <x:c r="AI214" s="20" t="str">
        <x:f>IFERROR(LN(Y214),"")</x:f>
      </x:c>
      <x:c r="AJ214" s="20" t="str">
        <x:f>IFERROR(LN(Z214),"")</x:f>
      </x:c>
      <x:c r="AK214" s="20" t="str">
        <x:f>IFERROR(LN(AA214),"")</x:f>
      </x:c>
      <x:c r="AL214" s="20" t="str">
        <x:f>IFERROR(LN(AB214),"")</x:f>
      </x:c>
      <x:c r="AM214" s="20" t="str">
        <x:f>IFERROR(LN(AC214),"")</x:f>
      </x:c>
      <x:c r="AN214" s="20" t="str">
        <x:f>IFERROR(LN(AD214),"")</x:f>
      </x:c>
      <x:c r="AO214" s="20" t="str">
        <x:f>IFERROR(LN(AE214),"")</x:f>
      </x:c>
      <x:c r="AP214" s="20" t="str">
        <x:f>IFERROR(LN(AF214),"")</x:f>
      </x:c>
      <x:c r="AQ214" s="20" t="str">
        <x:f>IFERROR(LN(AG214),"")</x:f>
      </x:c>
    </x:row>
    <x:row r="215" ht="15" hidden="0" customHeight="1">
      <x:c r="A215" s="22"/>
      <x:c r="B215" s="32"/>
      <x:c r="C215" s="22"/>
      <x:c r="D215" s="22"/>
      <x:c r="E215" s="22"/>
      <x:c r="F215" s="33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3"/>
      <x:c r="Q215" s="23"/>
      <x:c r="R215" s="23"/>
      <x:c r="S215" s="23"/>
      <x:c r="T215" s="23"/>
      <x:c r="U215" s="23"/>
      <x:c r="V215" s="23"/>
      <x:c r="W215" s="23"/>
      <x:c r="X215" s="23"/>
      <x:c r="Y215" s="23"/>
      <x:c r="Z215" s="23"/>
      <x:c r="AA215" s="23"/>
      <x:c r="AB215" s="23"/>
      <x:c r="AC215" s="23"/>
      <x:c r="AD215" s="23"/>
      <x:c r="AE215" s="23"/>
      <x:c r="AF215" s="23"/>
      <x:c r="AG215" s="23"/>
      <x:c r="AH215" s="22"/>
      <x:c r="AI215" s="20" t="str">
        <x:f>IFERROR(LN(Y215),"")</x:f>
      </x:c>
      <x:c r="AJ215" s="20" t="str">
        <x:f>IFERROR(LN(Z215),"")</x:f>
      </x:c>
      <x:c r="AK215" s="20" t="str">
        <x:f>IFERROR(LN(AA215),"")</x:f>
      </x:c>
      <x:c r="AL215" s="20" t="str">
        <x:f>IFERROR(LN(AB215),"")</x:f>
      </x:c>
      <x:c r="AM215" s="20" t="str">
        <x:f>IFERROR(LN(AC215),"")</x:f>
      </x:c>
      <x:c r="AN215" s="20" t="str">
        <x:f>IFERROR(LN(AD215),"")</x:f>
      </x:c>
      <x:c r="AO215" s="20" t="str">
        <x:f>IFERROR(LN(AE215),"")</x:f>
      </x:c>
      <x:c r="AP215" s="20" t="str">
        <x:f>IFERROR(LN(AF215),"")</x:f>
      </x:c>
      <x:c r="AQ215" s="20" t="str">
        <x:f>IFERROR(LN(AG215),"")</x:f>
      </x:c>
    </x:row>
    <x:row r="216" ht="15" hidden="0" customHeight="1">
      <x:c r="A216" s="22"/>
      <x:c r="B216" s="32"/>
      <x:c r="C216" s="22"/>
      <x:c r="D216" s="22"/>
      <x:c r="E216" s="22"/>
      <x:c r="F216" s="33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3"/>
      <x:c r="Q216" s="23"/>
      <x:c r="R216" s="23"/>
      <x:c r="S216" s="23"/>
      <x:c r="T216" s="23"/>
      <x:c r="U216" s="23"/>
      <x:c r="V216" s="23"/>
      <x:c r="W216" s="23"/>
      <x:c r="X216" s="23"/>
      <x:c r="Y216" s="23"/>
      <x:c r="Z216" s="23"/>
      <x:c r="AA216" s="23"/>
      <x:c r="AB216" s="23"/>
      <x:c r="AC216" s="23"/>
      <x:c r="AD216" s="23"/>
      <x:c r="AE216" s="23"/>
      <x:c r="AF216" s="23"/>
      <x:c r="AG216" s="23"/>
      <x:c r="AH216" s="22"/>
      <x:c r="AI216" s="20" t="str">
        <x:f>IFERROR(LN(Y216),"")</x:f>
      </x:c>
      <x:c r="AJ216" s="20" t="str">
        <x:f>IFERROR(LN(Z216),"")</x:f>
      </x:c>
      <x:c r="AK216" s="20" t="str">
        <x:f>IFERROR(LN(AA216),"")</x:f>
      </x:c>
      <x:c r="AL216" s="20" t="str">
        <x:f>IFERROR(LN(AB216),"")</x:f>
      </x:c>
      <x:c r="AM216" s="20" t="str">
        <x:f>IFERROR(LN(AC216),"")</x:f>
      </x:c>
      <x:c r="AN216" s="20" t="str">
        <x:f>IFERROR(LN(AD216),"")</x:f>
      </x:c>
      <x:c r="AO216" s="20" t="str">
        <x:f>IFERROR(LN(AE216),"")</x:f>
      </x:c>
      <x:c r="AP216" s="20" t="str">
        <x:f>IFERROR(LN(AF216),"")</x:f>
      </x:c>
      <x:c r="AQ216" s="20" t="str">
        <x:f>IFERROR(LN(AG216),"")</x:f>
      </x:c>
    </x:row>
    <x:row r="217" ht="15" hidden="0" customHeight="1">
      <x:c r="A217" s="22"/>
      <x:c r="B217" s="32"/>
      <x:c r="C217" s="22"/>
      <x:c r="D217" s="22"/>
      <x:c r="E217" s="22"/>
      <x:c r="F217" s="33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3"/>
      <x:c r="Q217" s="23"/>
      <x:c r="R217" s="23"/>
      <x:c r="S217" s="23"/>
      <x:c r="T217" s="23"/>
      <x:c r="U217" s="23"/>
      <x:c r="V217" s="23"/>
      <x:c r="W217" s="23"/>
      <x:c r="X217" s="23"/>
      <x:c r="Y217" s="23"/>
      <x:c r="Z217" s="23"/>
      <x:c r="AA217" s="23"/>
      <x:c r="AB217" s="23"/>
      <x:c r="AC217" s="23"/>
      <x:c r="AD217" s="23"/>
      <x:c r="AE217" s="23"/>
      <x:c r="AF217" s="23"/>
      <x:c r="AG217" s="23"/>
      <x:c r="AH217" s="22"/>
      <x:c r="AI217" s="20" t="str">
        <x:f>IFERROR(LN(Y217),"")</x:f>
      </x:c>
      <x:c r="AJ217" s="20" t="str">
        <x:f>IFERROR(LN(Z217),"")</x:f>
      </x:c>
      <x:c r="AK217" s="20" t="str">
        <x:f>IFERROR(LN(AA217),"")</x:f>
      </x:c>
      <x:c r="AL217" s="20" t="str">
        <x:f>IFERROR(LN(AB217),"")</x:f>
      </x:c>
      <x:c r="AM217" s="20" t="str">
        <x:f>IFERROR(LN(AC217),"")</x:f>
      </x:c>
      <x:c r="AN217" s="20" t="str">
        <x:f>IFERROR(LN(AD217),"")</x:f>
      </x:c>
      <x:c r="AO217" s="20" t="str">
        <x:f>IFERROR(LN(AE217),"")</x:f>
      </x:c>
      <x:c r="AP217" s="20" t="str">
        <x:f>IFERROR(LN(AF217),"")</x:f>
      </x:c>
      <x:c r="AQ217" s="20" t="str">
        <x:f>IFERROR(LN(AG217),"")</x:f>
      </x:c>
    </x:row>
    <x:row r="218" ht="15" hidden="0" customHeight="1">
      <x:c r="A218" s="22"/>
      <x:c r="B218" s="32"/>
      <x:c r="C218" s="22"/>
      <x:c r="D218" s="22"/>
      <x:c r="E218" s="22"/>
      <x:c r="F218" s="33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3"/>
      <x:c r="Q218" s="23"/>
      <x:c r="R218" s="23"/>
      <x:c r="S218" s="23"/>
      <x:c r="T218" s="23"/>
      <x:c r="U218" s="23"/>
      <x:c r="V218" s="23"/>
      <x:c r="W218" s="23"/>
      <x:c r="X218" s="23"/>
      <x:c r="Y218" s="23"/>
      <x:c r="Z218" s="23"/>
      <x:c r="AA218" s="23"/>
      <x:c r="AB218" s="23"/>
      <x:c r="AC218" s="23"/>
      <x:c r="AD218" s="23"/>
      <x:c r="AE218" s="23"/>
      <x:c r="AF218" s="23"/>
      <x:c r="AG218" s="23"/>
      <x:c r="AH218" s="22"/>
      <x:c r="AI218" s="20" t="str">
        <x:f>IFERROR(LN(Y218),"")</x:f>
      </x:c>
      <x:c r="AJ218" s="20" t="str">
        <x:f>IFERROR(LN(Z218),"")</x:f>
      </x:c>
      <x:c r="AK218" s="20" t="str">
        <x:f>IFERROR(LN(AA218),"")</x:f>
      </x:c>
      <x:c r="AL218" s="20" t="str">
        <x:f>IFERROR(LN(AB218),"")</x:f>
      </x:c>
      <x:c r="AM218" s="20" t="str">
        <x:f>IFERROR(LN(AC218),"")</x:f>
      </x:c>
      <x:c r="AN218" s="20" t="str">
        <x:f>IFERROR(LN(AD218),"")</x:f>
      </x:c>
      <x:c r="AO218" s="20" t="str">
        <x:f>IFERROR(LN(AE218),"")</x:f>
      </x:c>
      <x:c r="AP218" s="20" t="str">
        <x:f>IFERROR(LN(AF218),"")</x:f>
      </x:c>
      <x:c r="AQ218" s="20" t="str">
        <x:f>IFERROR(LN(AG218),"")</x:f>
      </x:c>
    </x:row>
    <x:row r="219" ht="15" hidden="0" customHeight="1">
      <x:c r="A219" s="22"/>
      <x:c r="B219" s="32"/>
      <x:c r="C219" s="22"/>
      <x:c r="D219" s="22"/>
      <x:c r="E219" s="22"/>
      <x:c r="F219" s="33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3"/>
      <x:c r="Q219" s="23"/>
      <x:c r="R219" s="23"/>
      <x:c r="S219" s="23"/>
      <x:c r="T219" s="23"/>
      <x:c r="U219" s="23"/>
      <x:c r="V219" s="23"/>
      <x:c r="W219" s="23"/>
      <x:c r="X219" s="23"/>
      <x:c r="Y219" s="23"/>
      <x:c r="Z219" s="23"/>
      <x:c r="AA219" s="23"/>
      <x:c r="AB219" s="23"/>
      <x:c r="AC219" s="23"/>
      <x:c r="AD219" s="23"/>
      <x:c r="AE219" s="23"/>
      <x:c r="AF219" s="23"/>
      <x:c r="AG219" s="23"/>
      <x:c r="AH219" s="22"/>
      <x:c r="AI219" s="20" t="str">
        <x:f>IFERROR(LN(Y219),"")</x:f>
      </x:c>
      <x:c r="AJ219" s="20" t="str">
        <x:f>IFERROR(LN(Z219),"")</x:f>
      </x:c>
      <x:c r="AK219" s="20" t="str">
        <x:f>IFERROR(LN(AA219),"")</x:f>
      </x:c>
      <x:c r="AL219" s="20" t="str">
        <x:f>IFERROR(LN(AB219),"")</x:f>
      </x:c>
      <x:c r="AM219" s="20" t="str">
        <x:f>IFERROR(LN(AC219),"")</x:f>
      </x:c>
      <x:c r="AN219" s="20" t="str">
        <x:f>IFERROR(LN(AD219),"")</x:f>
      </x:c>
      <x:c r="AO219" s="20" t="str">
        <x:f>IFERROR(LN(AE219),"")</x:f>
      </x:c>
      <x:c r="AP219" s="20" t="str">
        <x:f>IFERROR(LN(AF219),"")</x:f>
      </x:c>
      <x:c r="AQ219" s="20" t="str">
        <x:f>IFERROR(LN(AG219),"")</x:f>
      </x:c>
    </x:row>
    <x:row r="220" ht="15" hidden="0" customHeight="1">
      <x:c r="A220" s="22"/>
      <x:c r="B220" s="32"/>
      <x:c r="C220" s="22"/>
      <x:c r="D220" s="22"/>
      <x:c r="E220" s="22"/>
      <x:c r="F220" s="33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3"/>
      <x:c r="Q220" s="23"/>
      <x:c r="R220" s="23"/>
      <x:c r="S220" s="23"/>
      <x:c r="T220" s="23"/>
      <x:c r="U220" s="23"/>
      <x:c r="V220" s="23"/>
      <x:c r="W220" s="23"/>
      <x:c r="X220" s="23"/>
      <x:c r="Y220" s="23"/>
      <x:c r="Z220" s="23"/>
      <x:c r="AA220" s="23"/>
      <x:c r="AB220" s="23"/>
      <x:c r="AC220" s="23"/>
      <x:c r="AD220" s="23"/>
      <x:c r="AE220" s="23"/>
      <x:c r="AF220" s="23"/>
      <x:c r="AG220" s="23"/>
      <x:c r="AH220" s="22"/>
      <x:c r="AI220" s="20" t="str">
        <x:f>IFERROR(LN(Y220),"")</x:f>
      </x:c>
      <x:c r="AJ220" s="20" t="str">
        <x:f>IFERROR(LN(Z220),"")</x:f>
      </x:c>
      <x:c r="AK220" s="20" t="str">
        <x:f>IFERROR(LN(AA220),"")</x:f>
      </x:c>
      <x:c r="AL220" s="20" t="str">
        <x:f>IFERROR(LN(AB220),"")</x:f>
      </x:c>
      <x:c r="AM220" s="20" t="str">
        <x:f>IFERROR(LN(AC220),"")</x:f>
      </x:c>
      <x:c r="AN220" s="20" t="str">
        <x:f>IFERROR(LN(AD220),"")</x:f>
      </x:c>
      <x:c r="AO220" s="20" t="str">
        <x:f>IFERROR(LN(AE220),"")</x:f>
      </x:c>
      <x:c r="AP220" s="20" t="str">
        <x:f>IFERROR(LN(AF220),"")</x:f>
      </x:c>
      <x:c r="AQ220" s="20" t="str">
        <x:f>IFERROR(LN(AG220),"")</x:f>
      </x:c>
    </x:row>
    <x:row r="221" ht="15" hidden="0" customHeight="1">
      <x:c r="A221" s="22"/>
      <x:c r="B221" s="32"/>
      <x:c r="C221" s="22"/>
      <x:c r="D221" s="22"/>
      <x:c r="E221" s="22"/>
      <x:c r="F221" s="33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3"/>
      <x:c r="Q221" s="23"/>
      <x:c r="R221" s="23"/>
      <x:c r="S221" s="23"/>
      <x:c r="T221" s="23"/>
      <x:c r="U221" s="23"/>
      <x:c r="V221" s="23"/>
      <x:c r="W221" s="23"/>
      <x:c r="X221" s="23"/>
      <x:c r="Y221" s="23"/>
      <x:c r="Z221" s="23"/>
      <x:c r="AA221" s="23"/>
      <x:c r="AB221" s="23"/>
      <x:c r="AC221" s="23"/>
      <x:c r="AD221" s="23"/>
      <x:c r="AE221" s="23"/>
      <x:c r="AF221" s="23"/>
      <x:c r="AG221" s="23"/>
      <x:c r="AH221" s="22"/>
      <x:c r="AI221" s="20" t="str">
        <x:f>IFERROR(LN(Y221),"")</x:f>
      </x:c>
      <x:c r="AJ221" s="20" t="str">
        <x:f>IFERROR(LN(Z221),"")</x:f>
      </x:c>
      <x:c r="AK221" s="20" t="str">
        <x:f>IFERROR(LN(AA221),"")</x:f>
      </x:c>
      <x:c r="AL221" s="20" t="str">
        <x:f>IFERROR(LN(AB221),"")</x:f>
      </x:c>
      <x:c r="AM221" s="20" t="str">
        <x:f>IFERROR(LN(AC221),"")</x:f>
      </x:c>
      <x:c r="AN221" s="20" t="str">
        <x:f>IFERROR(LN(AD221),"")</x:f>
      </x:c>
      <x:c r="AO221" s="20" t="str">
        <x:f>IFERROR(LN(AE221),"")</x:f>
      </x:c>
      <x:c r="AP221" s="20" t="str">
        <x:f>IFERROR(LN(AF221),"")</x:f>
      </x:c>
      <x:c r="AQ221" s="20" t="str">
        <x:f>IFERROR(LN(AG221),"")</x:f>
      </x:c>
    </x:row>
    <x:row r="222" ht="15" hidden="0" customHeight="1">
      <x:c r="A222" s="22"/>
      <x:c r="B222" s="32"/>
      <x:c r="C222" s="22"/>
      <x:c r="D222" s="22"/>
      <x:c r="E222" s="22"/>
      <x:c r="F222" s="33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3"/>
      <x:c r="Q222" s="23"/>
      <x:c r="R222" s="23"/>
      <x:c r="S222" s="23"/>
      <x:c r="T222" s="23"/>
      <x:c r="U222" s="23"/>
      <x:c r="V222" s="23"/>
      <x:c r="W222" s="23"/>
      <x:c r="X222" s="23"/>
      <x:c r="Y222" s="23"/>
      <x:c r="Z222" s="23"/>
      <x:c r="AA222" s="23"/>
      <x:c r="AB222" s="23"/>
      <x:c r="AC222" s="23"/>
      <x:c r="AD222" s="23"/>
      <x:c r="AE222" s="23"/>
      <x:c r="AF222" s="23"/>
      <x:c r="AG222" s="23"/>
      <x:c r="AH222" s="22"/>
      <x:c r="AI222" s="20" t="str">
        <x:f>IFERROR(LN(Y222),"")</x:f>
      </x:c>
      <x:c r="AJ222" s="20" t="str">
        <x:f>IFERROR(LN(Z222),"")</x:f>
      </x:c>
      <x:c r="AK222" s="20" t="str">
        <x:f>IFERROR(LN(AA222),"")</x:f>
      </x:c>
      <x:c r="AL222" s="20" t="str">
        <x:f>IFERROR(LN(AB222),"")</x:f>
      </x:c>
      <x:c r="AM222" s="20" t="str">
        <x:f>IFERROR(LN(AC222),"")</x:f>
      </x:c>
      <x:c r="AN222" s="20" t="str">
        <x:f>IFERROR(LN(AD222),"")</x:f>
      </x:c>
      <x:c r="AO222" s="20" t="str">
        <x:f>IFERROR(LN(AE222),"")</x:f>
      </x:c>
      <x:c r="AP222" s="20" t="str">
        <x:f>IFERROR(LN(AF222),"")</x:f>
      </x:c>
      <x:c r="AQ222" s="20" t="str">
        <x:f>IFERROR(LN(AG222),"")</x:f>
      </x:c>
    </x:row>
    <x:row r="223" ht="15" hidden="0" customHeight="1">
      <x:c r="A223" s="22"/>
      <x:c r="B223" s="32"/>
      <x:c r="C223" s="22"/>
      <x:c r="D223" s="22"/>
      <x:c r="E223" s="22"/>
      <x:c r="F223" s="33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3"/>
      <x:c r="Q223" s="23"/>
      <x:c r="R223" s="23"/>
      <x:c r="S223" s="23"/>
      <x:c r="T223" s="23"/>
      <x:c r="U223" s="23"/>
      <x:c r="V223" s="23"/>
      <x:c r="W223" s="23"/>
      <x:c r="X223" s="23"/>
      <x:c r="Y223" s="23"/>
      <x:c r="Z223" s="23"/>
      <x:c r="AA223" s="23"/>
      <x:c r="AB223" s="23"/>
      <x:c r="AC223" s="23"/>
      <x:c r="AD223" s="23"/>
      <x:c r="AE223" s="23"/>
      <x:c r="AF223" s="23"/>
      <x:c r="AG223" s="23"/>
      <x:c r="AH223" s="22"/>
      <x:c r="AI223" s="20" t="str">
        <x:f>IFERROR(LN(Y223),"")</x:f>
      </x:c>
      <x:c r="AJ223" s="20" t="str">
        <x:f>IFERROR(LN(Z223),"")</x:f>
      </x:c>
      <x:c r="AK223" s="20" t="str">
        <x:f>IFERROR(LN(AA223),"")</x:f>
      </x:c>
      <x:c r="AL223" s="20" t="str">
        <x:f>IFERROR(LN(AB223),"")</x:f>
      </x:c>
      <x:c r="AM223" s="20" t="str">
        <x:f>IFERROR(LN(AC223),"")</x:f>
      </x:c>
      <x:c r="AN223" s="20" t="str">
        <x:f>IFERROR(LN(AD223),"")</x:f>
      </x:c>
      <x:c r="AO223" s="20" t="str">
        <x:f>IFERROR(LN(AE223),"")</x:f>
      </x:c>
      <x:c r="AP223" s="20" t="str">
        <x:f>IFERROR(LN(AF223),"")</x:f>
      </x:c>
      <x:c r="AQ223" s="20" t="str">
        <x:f>IFERROR(LN(AG223),"")</x:f>
      </x:c>
    </x:row>
    <x:row r="224" ht="15" hidden="0" customHeight="1">
      <x:c r="A224" s="22"/>
      <x:c r="B224" s="32"/>
      <x:c r="C224" s="22"/>
      <x:c r="D224" s="22"/>
      <x:c r="E224" s="22"/>
      <x:c r="F224" s="33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3"/>
      <x:c r="Q224" s="23"/>
      <x:c r="R224" s="23"/>
      <x:c r="S224" s="23"/>
      <x:c r="T224" s="23"/>
      <x:c r="U224" s="23"/>
      <x:c r="V224" s="23"/>
      <x:c r="W224" s="23"/>
      <x:c r="X224" s="23"/>
      <x:c r="Y224" s="23"/>
      <x:c r="Z224" s="23"/>
      <x:c r="AA224" s="23"/>
      <x:c r="AB224" s="23"/>
      <x:c r="AC224" s="23"/>
      <x:c r="AD224" s="23"/>
      <x:c r="AE224" s="23"/>
      <x:c r="AF224" s="23"/>
      <x:c r="AG224" s="23"/>
      <x:c r="AH224" s="22"/>
      <x:c r="AI224" s="20" t="str">
        <x:f>IFERROR(LN(Y224),"")</x:f>
      </x:c>
      <x:c r="AJ224" s="20" t="str">
        <x:f>IFERROR(LN(Z224),"")</x:f>
      </x:c>
      <x:c r="AK224" s="20" t="str">
        <x:f>IFERROR(LN(AA224),"")</x:f>
      </x:c>
      <x:c r="AL224" s="20" t="str">
        <x:f>IFERROR(LN(AB224),"")</x:f>
      </x:c>
      <x:c r="AM224" s="20" t="str">
        <x:f>IFERROR(LN(AC224),"")</x:f>
      </x:c>
      <x:c r="AN224" s="20" t="str">
        <x:f>IFERROR(LN(AD224),"")</x:f>
      </x:c>
      <x:c r="AO224" s="20" t="str">
        <x:f>IFERROR(LN(AE224),"")</x:f>
      </x:c>
      <x:c r="AP224" s="20" t="str">
        <x:f>IFERROR(LN(AF224),"")</x:f>
      </x:c>
      <x:c r="AQ224" s="20" t="str">
        <x:f>IFERROR(LN(AG224),"")</x:f>
      </x:c>
    </x:row>
    <x:row r="225" ht="15" hidden="0" customHeight="1">
      <x:c r="A225" s="22"/>
      <x:c r="B225" s="32"/>
      <x:c r="C225" s="22"/>
      <x:c r="D225" s="22"/>
      <x:c r="E225" s="22"/>
      <x:c r="F225" s="33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3"/>
      <x:c r="Q225" s="23"/>
      <x:c r="R225" s="23"/>
      <x:c r="S225" s="23"/>
      <x:c r="T225" s="23"/>
      <x:c r="U225" s="23"/>
      <x:c r="V225" s="23"/>
      <x:c r="W225" s="23"/>
      <x:c r="X225" s="23"/>
      <x:c r="Y225" s="23"/>
      <x:c r="Z225" s="23"/>
      <x:c r="AA225" s="23"/>
      <x:c r="AB225" s="23"/>
      <x:c r="AC225" s="23"/>
      <x:c r="AD225" s="23"/>
      <x:c r="AE225" s="23"/>
      <x:c r="AF225" s="23"/>
      <x:c r="AG225" s="23"/>
      <x:c r="AH225" s="22"/>
      <x:c r="AI225" s="20" t="str">
        <x:f>IFERROR(LN(Y225),"")</x:f>
      </x:c>
      <x:c r="AJ225" s="20" t="str">
        <x:f>IFERROR(LN(Z225),"")</x:f>
      </x:c>
      <x:c r="AK225" s="20" t="str">
        <x:f>IFERROR(LN(AA225),"")</x:f>
      </x:c>
      <x:c r="AL225" s="20" t="str">
        <x:f>IFERROR(LN(AB225),"")</x:f>
      </x:c>
      <x:c r="AM225" s="20" t="str">
        <x:f>IFERROR(LN(AC225),"")</x:f>
      </x:c>
      <x:c r="AN225" s="20" t="str">
        <x:f>IFERROR(LN(AD225),"")</x:f>
      </x:c>
      <x:c r="AO225" s="20" t="str">
        <x:f>IFERROR(LN(AE225),"")</x:f>
      </x:c>
      <x:c r="AP225" s="20" t="str">
        <x:f>IFERROR(LN(AF225),"")</x:f>
      </x:c>
      <x:c r="AQ225" s="20" t="str">
        <x:f>IFERROR(LN(AG225),"")</x:f>
      </x:c>
    </x:row>
    <x:row r="226" ht="15" hidden="0" customHeight="1">
      <x:c r="A226" s="22"/>
      <x:c r="B226" s="32"/>
      <x:c r="C226" s="22"/>
      <x:c r="D226" s="22"/>
      <x:c r="E226" s="22"/>
      <x:c r="F226" s="33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3"/>
      <x:c r="Q226" s="23"/>
      <x:c r="R226" s="23"/>
      <x:c r="S226" s="23"/>
      <x:c r="T226" s="23"/>
      <x:c r="U226" s="23"/>
      <x:c r="V226" s="23"/>
      <x:c r="W226" s="23"/>
      <x:c r="X226" s="23"/>
      <x:c r="Y226" s="23"/>
      <x:c r="Z226" s="23"/>
      <x:c r="AA226" s="23"/>
      <x:c r="AB226" s="23"/>
      <x:c r="AC226" s="23"/>
      <x:c r="AD226" s="23"/>
      <x:c r="AE226" s="23"/>
      <x:c r="AF226" s="23"/>
      <x:c r="AG226" s="23"/>
      <x:c r="AH226" s="22"/>
      <x:c r="AI226" s="20" t="str">
        <x:f>IFERROR(LN(Y226),"")</x:f>
      </x:c>
      <x:c r="AJ226" s="20" t="str">
        <x:f>IFERROR(LN(Z226),"")</x:f>
      </x:c>
      <x:c r="AK226" s="20" t="str">
        <x:f>IFERROR(LN(AA226),"")</x:f>
      </x:c>
      <x:c r="AL226" s="20" t="str">
        <x:f>IFERROR(LN(AB226),"")</x:f>
      </x:c>
      <x:c r="AM226" s="20" t="str">
        <x:f>IFERROR(LN(AC226),"")</x:f>
      </x:c>
      <x:c r="AN226" s="20" t="str">
        <x:f>IFERROR(LN(AD226),"")</x:f>
      </x:c>
      <x:c r="AO226" s="20" t="str">
        <x:f>IFERROR(LN(AE226),"")</x:f>
      </x:c>
      <x:c r="AP226" s="20" t="str">
        <x:f>IFERROR(LN(AF226),"")</x:f>
      </x:c>
      <x:c r="AQ226" s="20" t="str">
        <x:f>IFERROR(LN(AG226),"")</x:f>
      </x:c>
    </x:row>
    <x:row r="227" ht="15" hidden="0" customHeight="1">
      <x:c r="A227" s="22"/>
      <x:c r="B227" s="32"/>
      <x:c r="C227" s="22"/>
      <x:c r="D227" s="22"/>
      <x:c r="E227" s="22"/>
      <x:c r="F227" s="33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3"/>
      <x:c r="Q227" s="23"/>
      <x:c r="R227" s="23"/>
      <x:c r="S227" s="23"/>
      <x:c r="T227" s="23"/>
      <x:c r="U227" s="23"/>
      <x:c r="V227" s="23"/>
      <x:c r="W227" s="23"/>
      <x:c r="X227" s="23"/>
      <x:c r="Y227" s="23"/>
      <x:c r="Z227" s="23"/>
      <x:c r="AA227" s="23"/>
      <x:c r="AB227" s="23"/>
      <x:c r="AC227" s="23"/>
      <x:c r="AD227" s="23"/>
      <x:c r="AE227" s="23"/>
      <x:c r="AF227" s="23"/>
      <x:c r="AG227" s="23"/>
      <x:c r="AH227" s="22"/>
      <x:c r="AI227" s="20" t="str">
        <x:f>IFERROR(LN(Y227),"")</x:f>
      </x:c>
      <x:c r="AJ227" s="20" t="str">
        <x:f>IFERROR(LN(Z227),"")</x:f>
      </x:c>
      <x:c r="AK227" s="20" t="str">
        <x:f>IFERROR(LN(AA227),"")</x:f>
      </x:c>
      <x:c r="AL227" s="20" t="str">
        <x:f>IFERROR(LN(AB227),"")</x:f>
      </x:c>
      <x:c r="AM227" s="20" t="str">
        <x:f>IFERROR(LN(AC227),"")</x:f>
      </x:c>
      <x:c r="AN227" s="20" t="str">
        <x:f>IFERROR(LN(AD227),"")</x:f>
      </x:c>
      <x:c r="AO227" s="20" t="str">
        <x:f>IFERROR(LN(AE227),"")</x:f>
      </x:c>
      <x:c r="AP227" s="20" t="str">
        <x:f>IFERROR(LN(AF227),"")</x:f>
      </x:c>
      <x:c r="AQ227" s="20" t="str">
        <x:f>IFERROR(LN(AG227),"")</x:f>
      </x:c>
    </x:row>
    <x:row r="228" ht="15" hidden="0" customHeight="1">
      <x:c r="A228" s="22"/>
      <x:c r="B228" s="32"/>
      <x:c r="C228" s="22"/>
      <x:c r="D228" s="22"/>
      <x:c r="E228" s="22"/>
      <x:c r="F228" s="33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3"/>
      <x:c r="Q228" s="23"/>
      <x:c r="R228" s="23"/>
      <x:c r="S228" s="23"/>
      <x:c r="T228" s="23"/>
      <x:c r="U228" s="23"/>
      <x:c r="V228" s="23"/>
      <x:c r="W228" s="23"/>
      <x:c r="X228" s="23"/>
      <x:c r="Y228" s="23"/>
      <x:c r="Z228" s="23"/>
      <x:c r="AA228" s="23"/>
      <x:c r="AB228" s="23"/>
      <x:c r="AC228" s="23"/>
      <x:c r="AD228" s="23"/>
      <x:c r="AE228" s="23"/>
      <x:c r="AF228" s="23"/>
      <x:c r="AG228" s="23"/>
      <x:c r="AH228" s="22"/>
      <x:c r="AI228" s="20" t="str">
        <x:f>IFERROR(LN(Y228),"")</x:f>
      </x:c>
      <x:c r="AJ228" s="20" t="str">
        <x:f>IFERROR(LN(Z228),"")</x:f>
      </x:c>
      <x:c r="AK228" s="20" t="str">
        <x:f>IFERROR(LN(AA228),"")</x:f>
      </x:c>
      <x:c r="AL228" s="20" t="str">
        <x:f>IFERROR(LN(AB228),"")</x:f>
      </x:c>
      <x:c r="AM228" s="20" t="str">
        <x:f>IFERROR(LN(AC228),"")</x:f>
      </x:c>
      <x:c r="AN228" s="20" t="str">
        <x:f>IFERROR(LN(AD228),"")</x:f>
      </x:c>
      <x:c r="AO228" s="20" t="str">
        <x:f>IFERROR(LN(AE228),"")</x:f>
      </x:c>
      <x:c r="AP228" s="20" t="str">
        <x:f>IFERROR(LN(AF228),"")</x:f>
      </x:c>
      <x:c r="AQ228" s="20" t="str">
        <x:f>IFERROR(LN(AG228),"")</x:f>
      </x:c>
    </x:row>
    <x:row r="229" ht="15" hidden="0" customHeight="1">
      <x:c r="A229" s="22"/>
      <x:c r="B229" s="32"/>
      <x:c r="C229" s="22"/>
      <x:c r="D229" s="22"/>
      <x:c r="E229" s="22"/>
      <x:c r="F229" s="33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3"/>
      <x:c r="Q229" s="23"/>
      <x:c r="R229" s="23"/>
      <x:c r="S229" s="23"/>
      <x:c r="T229" s="23"/>
      <x:c r="U229" s="23"/>
      <x:c r="V229" s="23"/>
      <x:c r="W229" s="23"/>
      <x:c r="X229" s="23"/>
      <x:c r="Y229" s="23"/>
      <x:c r="Z229" s="23"/>
      <x:c r="AA229" s="23"/>
      <x:c r="AB229" s="23"/>
      <x:c r="AC229" s="23"/>
      <x:c r="AD229" s="23"/>
      <x:c r="AE229" s="23"/>
      <x:c r="AF229" s="23"/>
      <x:c r="AG229" s="23"/>
      <x:c r="AH229" s="22"/>
      <x:c r="AI229" s="20" t="str">
        <x:f>IFERROR(LN(Y229),"")</x:f>
      </x:c>
      <x:c r="AJ229" s="20" t="str">
        <x:f>IFERROR(LN(Z229),"")</x:f>
      </x:c>
      <x:c r="AK229" s="20" t="str">
        <x:f>IFERROR(LN(AA229),"")</x:f>
      </x:c>
      <x:c r="AL229" s="20" t="str">
        <x:f>IFERROR(LN(AB229),"")</x:f>
      </x:c>
      <x:c r="AM229" s="20" t="str">
        <x:f>IFERROR(LN(AC229),"")</x:f>
      </x:c>
      <x:c r="AN229" s="20" t="str">
        <x:f>IFERROR(LN(AD229),"")</x:f>
      </x:c>
      <x:c r="AO229" s="20" t="str">
        <x:f>IFERROR(LN(AE229),"")</x:f>
      </x:c>
      <x:c r="AP229" s="20" t="str">
        <x:f>IFERROR(LN(AF229),"")</x:f>
      </x:c>
      <x:c r="AQ229" s="20" t="str">
        <x:f>IFERROR(LN(AG229),"")</x:f>
      </x:c>
    </x:row>
    <x:row r="230" ht="15" hidden="0" customHeight="1">
      <x:c r="A230" s="22"/>
      <x:c r="B230" s="32"/>
      <x:c r="C230" s="22"/>
      <x:c r="D230" s="22"/>
      <x:c r="E230" s="22"/>
      <x:c r="F230" s="33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3"/>
      <x:c r="Q230" s="23"/>
      <x:c r="R230" s="23"/>
      <x:c r="S230" s="23"/>
      <x:c r="T230" s="23"/>
      <x:c r="U230" s="23"/>
      <x:c r="V230" s="23"/>
      <x:c r="W230" s="23"/>
      <x:c r="X230" s="23"/>
      <x:c r="Y230" s="23"/>
      <x:c r="Z230" s="23"/>
      <x:c r="AA230" s="23"/>
      <x:c r="AB230" s="23"/>
      <x:c r="AC230" s="23"/>
      <x:c r="AD230" s="23"/>
      <x:c r="AE230" s="23"/>
      <x:c r="AF230" s="23"/>
      <x:c r="AG230" s="23"/>
      <x:c r="AH230" s="22"/>
      <x:c r="AI230" s="20" t="str">
        <x:f>IFERROR(LN(Y230),"")</x:f>
      </x:c>
      <x:c r="AJ230" s="20" t="str">
        <x:f>IFERROR(LN(Z230),"")</x:f>
      </x:c>
      <x:c r="AK230" s="20" t="str">
        <x:f>IFERROR(LN(AA230),"")</x:f>
      </x:c>
      <x:c r="AL230" s="20" t="str">
        <x:f>IFERROR(LN(AB230),"")</x:f>
      </x:c>
      <x:c r="AM230" s="20" t="str">
        <x:f>IFERROR(LN(AC230),"")</x:f>
      </x:c>
      <x:c r="AN230" s="20" t="str">
        <x:f>IFERROR(LN(AD230),"")</x:f>
      </x:c>
      <x:c r="AO230" s="20" t="str">
        <x:f>IFERROR(LN(AE230),"")</x:f>
      </x:c>
      <x:c r="AP230" s="20" t="str">
        <x:f>IFERROR(LN(AF230),"")</x:f>
      </x:c>
      <x:c r="AQ230" s="20" t="str">
        <x:f>IFERROR(LN(AG230),"")</x:f>
      </x:c>
    </x:row>
    <x:row r="231" ht="15" hidden="0" customHeight="1">
      <x:c r="A231" s="22"/>
      <x:c r="B231" s="32"/>
      <x:c r="C231" s="22"/>
      <x:c r="D231" s="22"/>
      <x:c r="E231" s="22"/>
      <x:c r="F231" s="33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3"/>
      <x:c r="Q231" s="23"/>
      <x:c r="R231" s="23"/>
      <x:c r="S231" s="23"/>
      <x:c r="T231" s="23"/>
      <x:c r="U231" s="23"/>
      <x:c r="V231" s="23"/>
      <x:c r="W231" s="23"/>
      <x:c r="X231" s="23"/>
      <x:c r="Y231" s="23"/>
      <x:c r="Z231" s="23"/>
      <x:c r="AA231" s="23"/>
      <x:c r="AB231" s="23"/>
      <x:c r="AC231" s="23"/>
      <x:c r="AD231" s="23"/>
      <x:c r="AE231" s="23"/>
      <x:c r="AF231" s="23"/>
      <x:c r="AG231" s="23"/>
      <x:c r="AH231" s="22"/>
      <x:c r="AI231" s="20" t="str">
        <x:f>IFERROR(LN(Y231),"")</x:f>
      </x:c>
      <x:c r="AJ231" s="20" t="str">
        <x:f>IFERROR(LN(Z231),"")</x:f>
      </x:c>
      <x:c r="AK231" s="20" t="str">
        <x:f>IFERROR(LN(AA231),"")</x:f>
      </x:c>
      <x:c r="AL231" s="20" t="str">
        <x:f>IFERROR(LN(AB231),"")</x:f>
      </x:c>
      <x:c r="AM231" s="20" t="str">
        <x:f>IFERROR(LN(AC231),"")</x:f>
      </x:c>
      <x:c r="AN231" s="20" t="str">
        <x:f>IFERROR(LN(AD231),"")</x:f>
      </x:c>
      <x:c r="AO231" s="20" t="str">
        <x:f>IFERROR(LN(AE231),"")</x:f>
      </x:c>
      <x:c r="AP231" s="20" t="str">
        <x:f>IFERROR(LN(AF231),"")</x:f>
      </x:c>
      <x:c r="AQ231" s="20" t="str">
        <x:f>IFERROR(LN(AG231),"")</x:f>
      </x:c>
    </x:row>
    <x:row r="232" ht="15" hidden="0" customHeight="1">
      <x:c r="A232" s="22"/>
      <x:c r="B232" s="32"/>
      <x:c r="C232" s="22"/>
      <x:c r="D232" s="22"/>
      <x:c r="E232" s="22"/>
      <x:c r="F232" s="33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3"/>
      <x:c r="Q232" s="23"/>
      <x:c r="R232" s="23"/>
      <x:c r="S232" s="23"/>
      <x:c r="T232" s="23"/>
      <x:c r="U232" s="23"/>
      <x:c r="V232" s="23"/>
      <x:c r="W232" s="23"/>
      <x:c r="X232" s="23"/>
      <x:c r="Y232" s="23"/>
      <x:c r="Z232" s="23"/>
      <x:c r="AA232" s="23"/>
      <x:c r="AB232" s="23"/>
      <x:c r="AC232" s="23"/>
      <x:c r="AD232" s="23"/>
      <x:c r="AE232" s="23"/>
      <x:c r="AF232" s="23"/>
      <x:c r="AG232" s="23"/>
      <x:c r="AH232" s="22"/>
      <x:c r="AI232" s="20" t="str">
        <x:f>IFERROR(LN(Y232),"")</x:f>
      </x:c>
      <x:c r="AJ232" s="20" t="str">
        <x:f>IFERROR(LN(Z232),"")</x:f>
      </x:c>
      <x:c r="AK232" s="20" t="str">
        <x:f>IFERROR(LN(AA232),"")</x:f>
      </x:c>
      <x:c r="AL232" s="20" t="str">
        <x:f>IFERROR(LN(AB232),"")</x:f>
      </x:c>
      <x:c r="AM232" s="20" t="str">
        <x:f>IFERROR(LN(AC232),"")</x:f>
      </x:c>
      <x:c r="AN232" s="20" t="str">
        <x:f>IFERROR(LN(AD232),"")</x:f>
      </x:c>
      <x:c r="AO232" s="20" t="str">
        <x:f>IFERROR(LN(AE232),"")</x:f>
      </x:c>
      <x:c r="AP232" s="20" t="str">
        <x:f>IFERROR(LN(AF232),"")</x:f>
      </x:c>
      <x:c r="AQ232" s="20" t="str">
        <x:f>IFERROR(LN(AG232),"")</x:f>
      </x:c>
    </x:row>
    <x:row r="233" ht="15" hidden="0" customHeight="1">
      <x:c r="A233" s="22"/>
      <x:c r="B233" s="32"/>
      <x:c r="C233" s="22"/>
      <x:c r="D233" s="22"/>
      <x:c r="E233" s="22"/>
      <x:c r="F233" s="33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3"/>
      <x:c r="Q233" s="23"/>
      <x:c r="R233" s="23"/>
      <x:c r="S233" s="23"/>
      <x:c r="T233" s="23"/>
      <x:c r="U233" s="23"/>
      <x:c r="V233" s="23"/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2"/>
      <x:c r="AI233" s="20" t="str">
        <x:f>IFERROR(LN(Y233),"")</x:f>
      </x:c>
      <x:c r="AJ233" s="20" t="str">
        <x:f>IFERROR(LN(Z233),"")</x:f>
      </x:c>
      <x:c r="AK233" s="20" t="str">
        <x:f>IFERROR(LN(AA233),"")</x:f>
      </x:c>
      <x:c r="AL233" s="20" t="str">
        <x:f>IFERROR(LN(AB233),"")</x:f>
      </x:c>
      <x:c r="AM233" s="20" t="str">
        <x:f>IFERROR(LN(AC233),"")</x:f>
      </x:c>
      <x:c r="AN233" s="20" t="str">
        <x:f>IFERROR(LN(AD233),"")</x:f>
      </x:c>
      <x:c r="AO233" s="20" t="str">
        <x:f>IFERROR(LN(AE233),"")</x:f>
      </x:c>
      <x:c r="AP233" s="20" t="str">
        <x:f>IFERROR(LN(AF233),"")</x:f>
      </x:c>
      <x:c r="AQ233" s="20" t="str">
        <x:f>IFERROR(LN(AG233),"")</x:f>
      </x:c>
    </x:row>
    <x:row r="234" ht="15" hidden="0" customHeight="1">
      <x:c r="A234" s="22"/>
      <x:c r="B234" s="32"/>
      <x:c r="C234" s="22"/>
      <x:c r="D234" s="22"/>
      <x:c r="E234" s="22"/>
      <x:c r="F234" s="33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3"/>
      <x:c r="Q234" s="23"/>
      <x:c r="R234" s="23"/>
      <x:c r="S234" s="23"/>
      <x:c r="T234" s="23"/>
      <x:c r="U234" s="23"/>
      <x:c r="V234" s="23"/>
      <x:c r="W234" s="23"/>
      <x:c r="X234" s="23"/>
      <x:c r="Y234" s="23"/>
      <x:c r="Z234" s="23"/>
      <x:c r="AA234" s="23"/>
      <x:c r="AB234" s="23"/>
      <x:c r="AC234" s="23"/>
      <x:c r="AD234" s="23"/>
      <x:c r="AE234" s="23"/>
      <x:c r="AF234" s="23"/>
      <x:c r="AG234" s="23"/>
      <x:c r="AH234" s="22"/>
      <x:c r="AI234" s="20" t="str">
        <x:f>IFERROR(LN(Y234),"")</x:f>
      </x:c>
      <x:c r="AJ234" s="20" t="str">
        <x:f>IFERROR(LN(Z234),"")</x:f>
      </x:c>
      <x:c r="AK234" s="20" t="str">
        <x:f>IFERROR(LN(AA234),"")</x:f>
      </x:c>
      <x:c r="AL234" s="20" t="str">
        <x:f>IFERROR(LN(AB234),"")</x:f>
      </x:c>
      <x:c r="AM234" s="20" t="str">
        <x:f>IFERROR(LN(AC234),"")</x:f>
      </x:c>
      <x:c r="AN234" s="20" t="str">
        <x:f>IFERROR(LN(AD234),"")</x:f>
      </x:c>
      <x:c r="AO234" s="20" t="str">
        <x:f>IFERROR(LN(AE234),"")</x:f>
      </x:c>
      <x:c r="AP234" s="20" t="str">
        <x:f>IFERROR(LN(AF234),"")</x:f>
      </x:c>
      <x:c r="AQ234" s="20" t="str">
        <x:f>IFERROR(LN(AG234),"")</x:f>
      </x:c>
    </x:row>
    <x:row r="235" ht="15" hidden="0" customHeight="1">
      <x:c r="A235" s="22"/>
      <x:c r="B235" s="32"/>
      <x:c r="C235" s="22"/>
      <x:c r="D235" s="22"/>
      <x:c r="E235" s="22"/>
      <x:c r="F235" s="33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3"/>
      <x:c r="Q235" s="23"/>
      <x:c r="R235" s="23"/>
      <x:c r="S235" s="23"/>
      <x:c r="T235" s="23"/>
      <x:c r="U235" s="23"/>
      <x:c r="V235" s="23"/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2"/>
      <x:c r="AI235" s="20" t="str">
        <x:f>IFERROR(LN(Y235),"")</x:f>
      </x:c>
      <x:c r="AJ235" s="20" t="str">
        <x:f>IFERROR(LN(Z235),"")</x:f>
      </x:c>
      <x:c r="AK235" s="20" t="str">
        <x:f>IFERROR(LN(AA235),"")</x:f>
      </x:c>
      <x:c r="AL235" s="20" t="str">
        <x:f>IFERROR(LN(AB235),"")</x:f>
      </x:c>
      <x:c r="AM235" s="20" t="str">
        <x:f>IFERROR(LN(AC235),"")</x:f>
      </x:c>
      <x:c r="AN235" s="20" t="str">
        <x:f>IFERROR(LN(AD235),"")</x:f>
      </x:c>
      <x:c r="AO235" s="20" t="str">
        <x:f>IFERROR(LN(AE235),"")</x:f>
      </x:c>
      <x:c r="AP235" s="20" t="str">
        <x:f>IFERROR(LN(AF235),"")</x:f>
      </x:c>
      <x:c r="AQ235" s="20" t="str">
        <x:f>IFERROR(LN(AG235),"")</x:f>
      </x:c>
    </x:row>
    <x:row r="236" ht="15" hidden="0" customHeight="1">
      <x:c r="A236" s="22"/>
      <x:c r="B236" s="32"/>
      <x:c r="C236" s="22"/>
      <x:c r="D236" s="22"/>
      <x:c r="E236" s="22"/>
      <x:c r="F236" s="33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3"/>
      <x:c r="Q236" s="23"/>
      <x:c r="R236" s="23"/>
      <x:c r="S236" s="23"/>
      <x:c r="T236" s="23"/>
      <x:c r="U236" s="23"/>
      <x:c r="V236" s="23"/>
      <x:c r="W236" s="23"/>
      <x:c r="X236" s="23"/>
      <x:c r="Y236" s="23"/>
      <x:c r="Z236" s="23"/>
      <x:c r="AA236" s="23"/>
      <x:c r="AB236" s="23"/>
      <x:c r="AC236" s="23"/>
      <x:c r="AD236" s="23"/>
      <x:c r="AE236" s="23"/>
      <x:c r="AF236" s="23"/>
      <x:c r="AG236" s="23"/>
      <x:c r="AH236" s="22"/>
      <x:c r="AI236" s="20" t="str">
        <x:f>IFERROR(LN(Y236),"")</x:f>
      </x:c>
      <x:c r="AJ236" s="20" t="str">
        <x:f>IFERROR(LN(Z236),"")</x:f>
      </x:c>
      <x:c r="AK236" s="20" t="str">
        <x:f>IFERROR(LN(AA236),"")</x:f>
      </x:c>
      <x:c r="AL236" s="20" t="str">
        <x:f>IFERROR(LN(AB236),"")</x:f>
      </x:c>
      <x:c r="AM236" s="20" t="str">
        <x:f>IFERROR(LN(AC236),"")</x:f>
      </x:c>
      <x:c r="AN236" s="20" t="str">
        <x:f>IFERROR(LN(AD236),"")</x:f>
      </x:c>
      <x:c r="AO236" s="20" t="str">
        <x:f>IFERROR(LN(AE236),"")</x:f>
      </x:c>
      <x:c r="AP236" s="20" t="str">
        <x:f>IFERROR(LN(AF236),"")</x:f>
      </x:c>
      <x:c r="AQ236" s="20" t="str">
        <x:f>IFERROR(LN(AG236),"")</x:f>
      </x:c>
    </x:row>
    <x:row r="237" ht="15" hidden="0" customHeight="1">
      <x:c r="A237" s="22"/>
      <x:c r="B237" s="32"/>
      <x:c r="C237" s="22"/>
      <x:c r="D237" s="22"/>
      <x:c r="E237" s="22"/>
      <x:c r="F237" s="33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3"/>
      <x:c r="Q237" s="23"/>
      <x:c r="R237" s="23"/>
      <x:c r="S237" s="23"/>
      <x:c r="T237" s="23"/>
      <x:c r="U237" s="23"/>
      <x:c r="V237" s="23"/>
      <x:c r="W237" s="23"/>
      <x:c r="X237" s="23"/>
      <x:c r="Y237" s="23"/>
      <x:c r="Z237" s="23"/>
      <x:c r="AA237" s="23"/>
      <x:c r="AB237" s="23"/>
      <x:c r="AC237" s="23"/>
      <x:c r="AD237" s="23"/>
      <x:c r="AE237" s="23"/>
      <x:c r="AF237" s="23"/>
      <x:c r="AG237" s="23"/>
      <x:c r="AH237" s="22"/>
      <x:c r="AI237" s="20" t="str">
        <x:f>IFERROR(LN(Y237),"")</x:f>
      </x:c>
      <x:c r="AJ237" s="20" t="str">
        <x:f>IFERROR(LN(Z237),"")</x:f>
      </x:c>
      <x:c r="AK237" s="20" t="str">
        <x:f>IFERROR(LN(AA237),"")</x:f>
      </x:c>
      <x:c r="AL237" s="20" t="str">
        <x:f>IFERROR(LN(AB237),"")</x:f>
      </x:c>
      <x:c r="AM237" s="20" t="str">
        <x:f>IFERROR(LN(AC237),"")</x:f>
      </x:c>
      <x:c r="AN237" s="20" t="str">
        <x:f>IFERROR(LN(AD237),"")</x:f>
      </x:c>
      <x:c r="AO237" s="20" t="str">
        <x:f>IFERROR(LN(AE237),"")</x:f>
      </x:c>
      <x:c r="AP237" s="20" t="str">
        <x:f>IFERROR(LN(AF237),"")</x:f>
      </x:c>
      <x:c r="AQ237" s="20" t="str">
        <x:f>IFERROR(LN(AG237),"")</x:f>
      </x:c>
    </x:row>
    <x:row r="238" ht="15" hidden="0" customHeight="1">
      <x:c r="A238" s="22"/>
      <x:c r="B238" s="32"/>
      <x:c r="C238" s="22"/>
      <x:c r="D238" s="22"/>
      <x:c r="E238" s="22"/>
      <x:c r="F238" s="33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3"/>
      <x:c r="Q238" s="23"/>
      <x:c r="R238" s="23"/>
      <x:c r="S238" s="23"/>
      <x:c r="T238" s="23"/>
      <x:c r="U238" s="23"/>
      <x:c r="V238" s="23"/>
      <x:c r="W238" s="23"/>
      <x:c r="X238" s="23"/>
      <x:c r="Y238" s="23"/>
      <x:c r="Z238" s="23"/>
      <x:c r="AA238" s="23"/>
      <x:c r="AB238" s="23"/>
      <x:c r="AC238" s="23"/>
      <x:c r="AD238" s="23"/>
      <x:c r="AE238" s="23"/>
      <x:c r="AF238" s="23"/>
      <x:c r="AG238" s="23"/>
      <x:c r="AH238" s="22"/>
      <x:c r="AI238" s="20" t="str">
        <x:f>IFERROR(LN(Y238),"")</x:f>
      </x:c>
      <x:c r="AJ238" s="20" t="str">
        <x:f>IFERROR(LN(Z238),"")</x:f>
      </x:c>
      <x:c r="AK238" s="20" t="str">
        <x:f>IFERROR(LN(AA238),"")</x:f>
      </x:c>
      <x:c r="AL238" s="20" t="str">
        <x:f>IFERROR(LN(AB238),"")</x:f>
      </x:c>
      <x:c r="AM238" s="20" t="str">
        <x:f>IFERROR(LN(AC238),"")</x:f>
      </x:c>
      <x:c r="AN238" s="20" t="str">
        <x:f>IFERROR(LN(AD238),"")</x:f>
      </x:c>
      <x:c r="AO238" s="20" t="str">
        <x:f>IFERROR(LN(AE238),"")</x:f>
      </x:c>
      <x:c r="AP238" s="20" t="str">
        <x:f>IFERROR(LN(AF238),"")</x:f>
      </x:c>
      <x:c r="AQ238" s="20" t="str">
        <x:f>IFERROR(LN(AG238),"")</x:f>
      </x:c>
    </x:row>
    <x:row r="239" ht="15" hidden="0" customHeight="1">
      <x:c r="A239" s="22"/>
      <x:c r="B239" s="32"/>
      <x:c r="C239" s="22"/>
      <x:c r="D239" s="22"/>
      <x:c r="E239" s="22"/>
      <x:c r="F239" s="33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3"/>
      <x:c r="Q239" s="23"/>
      <x:c r="R239" s="23"/>
      <x:c r="S239" s="23"/>
      <x:c r="T239" s="23"/>
      <x:c r="U239" s="23"/>
      <x:c r="V239" s="23"/>
      <x:c r="W239" s="23"/>
      <x:c r="X239" s="23"/>
      <x:c r="Y239" s="23"/>
      <x:c r="Z239" s="23"/>
      <x:c r="AA239" s="23"/>
      <x:c r="AB239" s="23"/>
      <x:c r="AC239" s="23"/>
      <x:c r="AD239" s="23"/>
      <x:c r="AE239" s="23"/>
      <x:c r="AF239" s="23"/>
      <x:c r="AG239" s="23"/>
      <x:c r="AH239" s="22"/>
      <x:c r="AI239" s="20" t="str">
        <x:f>IFERROR(LN(Y239),"")</x:f>
      </x:c>
      <x:c r="AJ239" s="20" t="str">
        <x:f>IFERROR(LN(Z239),"")</x:f>
      </x:c>
      <x:c r="AK239" s="20" t="str">
        <x:f>IFERROR(LN(AA239),"")</x:f>
      </x:c>
      <x:c r="AL239" s="20" t="str">
        <x:f>IFERROR(LN(AB239),"")</x:f>
      </x:c>
      <x:c r="AM239" s="20" t="str">
        <x:f>IFERROR(LN(AC239),"")</x:f>
      </x:c>
      <x:c r="AN239" s="20" t="str">
        <x:f>IFERROR(LN(AD239),"")</x:f>
      </x:c>
      <x:c r="AO239" s="20" t="str">
        <x:f>IFERROR(LN(AE239),"")</x:f>
      </x:c>
      <x:c r="AP239" s="20" t="str">
        <x:f>IFERROR(LN(AF239),"")</x:f>
      </x:c>
      <x:c r="AQ239" s="20" t="str">
        <x:f>IFERROR(LN(AG239),"")</x:f>
      </x:c>
    </x:row>
    <x:row r="240" ht="15" hidden="0" customHeight="1">
      <x:c r="A240" s="22"/>
      <x:c r="B240" s="32"/>
      <x:c r="C240" s="22"/>
      <x:c r="D240" s="22"/>
      <x:c r="E240" s="22"/>
      <x:c r="F240" s="33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3"/>
      <x:c r="Q240" s="23"/>
      <x:c r="R240" s="23"/>
      <x:c r="S240" s="23"/>
      <x:c r="T240" s="23"/>
      <x:c r="U240" s="23"/>
      <x:c r="V240" s="23"/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2"/>
      <x:c r="AI240" s="20" t="str">
        <x:f>IFERROR(LN(Y240),"")</x:f>
      </x:c>
      <x:c r="AJ240" s="20" t="str">
        <x:f>IFERROR(LN(Z240),"")</x:f>
      </x:c>
      <x:c r="AK240" s="20" t="str">
        <x:f>IFERROR(LN(AA240),"")</x:f>
      </x:c>
      <x:c r="AL240" s="20" t="str">
        <x:f>IFERROR(LN(AB240),"")</x:f>
      </x:c>
      <x:c r="AM240" s="20" t="str">
        <x:f>IFERROR(LN(AC240),"")</x:f>
      </x:c>
      <x:c r="AN240" s="20" t="str">
        <x:f>IFERROR(LN(AD240),"")</x:f>
      </x:c>
      <x:c r="AO240" s="20" t="str">
        <x:f>IFERROR(LN(AE240),"")</x:f>
      </x:c>
      <x:c r="AP240" s="20" t="str">
        <x:f>IFERROR(LN(AF240),"")</x:f>
      </x:c>
      <x:c r="AQ240" s="20" t="str">
        <x:f>IFERROR(LN(AG240),"")</x:f>
      </x:c>
    </x:row>
    <x:row r="241" ht="15" hidden="0" customHeight="1">
      <x:c r="A241" s="22"/>
      <x:c r="B241" s="32"/>
      <x:c r="C241" s="22"/>
      <x:c r="D241" s="22"/>
      <x:c r="E241" s="22"/>
      <x:c r="F241" s="33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3"/>
      <x:c r="Q241" s="23"/>
      <x:c r="R241" s="23"/>
      <x:c r="S241" s="23"/>
      <x:c r="T241" s="23"/>
      <x:c r="U241" s="23"/>
      <x:c r="V241" s="23"/>
      <x:c r="W241" s="23"/>
      <x:c r="X241" s="23"/>
      <x:c r="Y241" s="23"/>
      <x:c r="Z241" s="23"/>
      <x:c r="AA241" s="23"/>
      <x:c r="AB241" s="23"/>
      <x:c r="AC241" s="23"/>
      <x:c r="AD241" s="23"/>
      <x:c r="AE241" s="23"/>
      <x:c r="AF241" s="23"/>
      <x:c r="AG241" s="23"/>
      <x:c r="AH241" s="22"/>
      <x:c r="AI241" s="20" t="str">
        <x:f>IFERROR(LN(Y241),"")</x:f>
      </x:c>
      <x:c r="AJ241" s="20" t="str">
        <x:f>IFERROR(LN(Z241),"")</x:f>
      </x:c>
      <x:c r="AK241" s="20" t="str">
        <x:f>IFERROR(LN(AA241),"")</x:f>
      </x:c>
      <x:c r="AL241" s="20" t="str">
        <x:f>IFERROR(LN(AB241),"")</x:f>
      </x:c>
      <x:c r="AM241" s="20" t="str">
        <x:f>IFERROR(LN(AC241),"")</x:f>
      </x:c>
      <x:c r="AN241" s="20" t="str">
        <x:f>IFERROR(LN(AD241),"")</x:f>
      </x:c>
      <x:c r="AO241" s="20" t="str">
        <x:f>IFERROR(LN(AE241),"")</x:f>
      </x:c>
      <x:c r="AP241" s="20" t="str">
        <x:f>IFERROR(LN(AF241),"")</x:f>
      </x:c>
      <x:c r="AQ241" s="20" t="str">
        <x:f>IFERROR(LN(AG241),"")</x:f>
      </x:c>
    </x:row>
    <x:row r="242" ht="15" hidden="0" customHeight="1">
      <x:c r="A242" s="22"/>
      <x:c r="B242" s="32"/>
      <x:c r="C242" s="22"/>
      <x:c r="D242" s="22"/>
      <x:c r="E242" s="22"/>
      <x:c r="F242" s="33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3"/>
      <x:c r="Q242" s="23"/>
      <x:c r="R242" s="23"/>
      <x:c r="S242" s="23"/>
      <x:c r="T242" s="23"/>
      <x:c r="U242" s="23"/>
      <x:c r="V242" s="23"/>
      <x:c r="W242" s="23"/>
      <x:c r="X242" s="23"/>
      <x:c r="Y242" s="23"/>
      <x:c r="Z242" s="23"/>
      <x:c r="AA242" s="23"/>
      <x:c r="AB242" s="23"/>
      <x:c r="AC242" s="23"/>
      <x:c r="AD242" s="23"/>
      <x:c r="AE242" s="23"/>
      <x:c r="AF242" s="23"/>
      <x:c r="AG242" s="23"/>
      <x:c r="AH242" s="22"/>
      <x:c r="AI242" s="20" t="str">
        <x:f>IFERROR(LN(Y242),"")</x:f>
      </x:c>
      <x:c r="AJ242" s="20" t="str">
        <x:f>IFERROR(LN(Z242),"")</x:f>
      </x:c>
      <x:c r="AK242" s="20" t="str">
        <x:f>IFERROR(LN(AA242),"")</x:f>
      </x:c>
      <x:c r="AL242" s="20" t="str">
        <x:f>IFERROR(LN(AB242),"")</x:f>
      </x:c>
      <x:c r="AM242" s="20" t="str">
        <x:f>IFERROR(LN(AC242),"")</x:f>
      </x:c>
      <x:c r="AN242" s="20" t="str">
        <x:f>IFERROR(LN(AD242),"")</x:f>
      </x:c>
      <x:c r="AO242" s="20" t="str">
        <x:f>IFERROR(LN(AE242),"")</x:f>
      </x:c>
      <x:c r="AP242" s="20" t="str">
        <x:f>IFERROR(LN(AF242),"")</x:f>
      </x:c>
      <x:c r="AQ242" s="20" t="str">
        <x:f>IFERROR(LN(AG242),"")</x:f>
      </x:c>
    </x:row>
    <x:row r="243" ht="15" hidden="0" customHeight="1">
      <x:c r="A243" s="22"/>
      <x:c r="B243" s="32"/>
      <x:c r="C243" s="22"/>
      <x:c r="D243" s="22"/>
      <x:c r="E243" s="22"/>
      <x:c r="F243" s="33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3"/>
      <x:c r="Q243" s="23"/>
      <x:c r="R243" s="23"/>
      <x:c r="S243" s="23"/>
      <x:c r="T243" s="23"/>
      <x:c r="U243" s="23"/>
      <x:c r="V243" s="23"/>
      <x:c r="W243" s="23"/>
      <x:c r="X243" s="23"/>
      <x:c r="Y243" s="23"/>
      <x:c r="Z243" s="23"/>
      <x:c r="AA243" s="23"/>
      <x:c r="AB243" s="23"/>
      <x:c r="AC243" s="23"/>
      <x:c r="AD243" s="23"/>
      <x:c r="AE243" s="23"/>
      <x:c r="AF243" s="23"/>
      <x:c r="AG243" s="23"/>
      <x:c r="AH243" s="22"/>
      <x:c r="AI243" s="20" t="str">
        <x:f>IFERROR(LN(Y243),"")</x:f>
      </x:c>
      <x:c r="AJ243" s="20" t="str">
        <x:f>IFERROR(LN(Z243),"")</x:f>
      </x:c>
      <x:c r="AK243" s="20" t="str">
        <x:f>IFERROR(LN(AA243),"")</x:f>
      </x:c>
      <x:c r="AL243" s="20" t="str">
        <x:f>IFERROR(LN(AB243),"")</x:f>
      </x:c>
      <x:c r="AM243" s="20" t="str">
        <x:f>IFERROR(LN(AC243),"")</x:f>
      </x:c>
      <x:c r="AN243" s="20" t="str">
        <x:f>IFERROR(LN(AD243),"")</x:f>
      </x:c>
      <x:c r="AO243" s="20" t="str">
        <x:f>IFERROR(LN(AE243),"")</x:f>
      </x:c>
      <x:c r="AP243" s="20" t="str">
        <x:f>IFERROR(LN(AF243),"")</x:f>
      </x:c>
      <x:c r="AQ243" s="20" t="str">
        <x:f>IFERROR(LN(AG243),"")</x:f>
      </x:c>
    </x:row>
    <x:row r="244" ht="15" hidden="0" customHeight="1">
      <x:c r="A244" s="22"/>
      <x:c r="B244" s="32"/>
      <x:c r="C244" s="22"/>
      <x:c r="D244" s="22"/>
      <x:c r="E244" s="22"/>
      <x:c r="F244" s="33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3"/>
      <x:c r="Q244" s="23"/>
      <x:c r="R244" s="23"/>
      <x:c r="S244" s="23"/>
      <x:c r="T244" s="23"/>
      <x:c r="U244" s="23"/>
      <x:c r="V244" s="23"/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2"/>
      <x:c r="AI244" s="20" t="str">
        <x:f>IFERROR(LN(Y244),"")</x:f>
      </x:c>
      <x:c r="AJ244" s="20" t="str">
        <x:f>IFERROR(LN(Z244),"")</x:f>
      </x:c>
      <x:c r="AK244" s="20" t="str">
        <x:f>IFERROR(LN(AA244),"")</x:f>
      </x:c>
      <x:c r="AL244" s="20" t="str">
        <x:f>IFERROR(LN(AB244),"")</x:f>
      </x:c>
      <x:c r="AM244" s="20" t="str">
        <x:f>IFERROR(LN(AC244),"")</x:f>
      </x:c>
      <x:c r="AN244" s="20" t="str">
        <x:f>IFERROR(LN(AD244),"")</x:f>
      </x:c>
      <x:c r="AO244" s="20" t="str">
        <x:f>IFERROR(LN(AE244),"")</x:f>
      </x:c>
      <x:c r="AP244" s="20" t="str">
        <x:f>IFERROR(LN(AF244),"")</x:f>
      </x:c>
      <x:c r="AQ244" s="20" t="str">
        <x:f>IFERROR(LN(AG244),"")</x:f>
      </x:c>
    </x:row>
    <x:row r="245" ht="15" hidden="0" customHeight="1">
      <x:c r="A245" s="22"/>
      <x:c r="B245" s="32"/>
      <x:c r="C245" s="22"/>
      <x:c r="D245" s="22"/>
      <x:c r="E245" s="22"/>
      <x:c r="F245" s="33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3"/>
      <x:c r="Q245" s="23"/>
      <x:c r="R245" s="23"/>
      <x:c r="S245" s="23"/>
      <x:c r="T245" s="23"/>
      <x:c r="U245" s="23"/>
      <x:c r="V245" s="23"/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2"/>
      <x:c r="AI245" s="20" t="str">
        <x:f>IFERROR(LN(Y245),"")</x:f>
      </x:c>
      <x:c r="AJ245" s="20" t="str">
        <x:f>IFERROR(LN(Z245),"")</x:f>
      </x:c>
      <x:c r="AK245" s="20" t="str">
        <x:f>IFERROR(LN(AA245),"")</x:f>
      </x:c>
      <x:c r="AL245" s="20" t="str">
        <x:f>IFERROR(LN(AB245),"")</x:f>
      </x:c>
      <x:c r="AM245" s="20" t="str">
        <x:f>IFERROR(LN(AC245),"")</x:f>
      </x:c>
      <x:c r="AN245" s="20" t="str">
        <x:f>IFERROR(LN(AD245),"")</x:f>
      </x:c>
      <x:c r="AO245" s="20" t="str">
        <x:f>IFERROR(LN(AE245),"")</x:f>
      </x:c>
      <x:c r="AP245" s="20" t="str">
        <x:f>IFERROR(LN(AF245),"")</x:f>
      </x:c>
      <x:c r="AQ245" s="20" t="str">
        <x:f>IFERROR(LN(AG245),"")</x:f>
      </x:c>
    </x:row>
    <x:row r="246" ht="15" hidden="0" customHeight="1">
      <x:c r="A246" s="22"/>
      <x:c r="B246" s="32"/>
      <x:c r="C246" s="22"/>
      <x:c r="D246" s="22"/>
      <x:c r="E246" s="22"/>
      <x:c r="F246" s="33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3"/>
      <x:c r="Q246" s="23"/>
      <x:c r="R246" s="23"/>
      <x:c r="S246" s="23"/>
      <x:c r="T246" s="23"/>
      <x:c r="U246" s="23"/>
      <x:c r="V246" s="23"/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2"/>
      <x:c r="AI246" s="20" t="str">
        <x:f>IFERROR(LN(Y246),"")</x:f>
      </x:c>
      <x:c r="AJ246" s="20" t="str">
        <x:f>IFERROR(LN(Z246),"")</x:f>
      </x:c>
      <x:c r="AK246" s="20" t="str">
        <x:f>IFERROR(LN(AA246),"")</x:f>
      </x:c>
      <x:c r="AL246" s="20" t="str">
        <x:f>IFERROR(LN(AB246),"")</x:f>
      </x:c>
      <x:c r="AM246" s="20" t="str">
        <x:f>IFERROR(LN(AC246),"")</x:f>
      </x:c>
      <x:c r="AN246" s="20" t="str">
        <x:f>IFERROR(LN(AD246),"")</x:f>
      </x:c>
      <x:c r="AO246" s="20" t="str">
        <x:f>IFERROR(LN(AE246),"")</x:f>
      </x:c>
      <x:c r="AP246" s="20" t="str">
        <x:f>IFERROR(LN(AF246),"")</x:f>
      </x:c>
      <x:c r="AQ246" s="20" t="str">
        <x:f>IFERROR(LN(AG246),"")</x:f>
      </x:c>
    </x:row>
    <x:row r="247" ht="15" hidden="0" customHeight="1">
      <x:c r="A247" s="22"/>
      <x:c r="B247" s="32"/>
      <x:c r="C247" s="22"/>
      <x:c r="D247" s="22"/>
      <x:c r="E247" s="22"/>
      <x:c r="F247" s="33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3"/>
      <x:c r="Q247" s="23"/>
      <x:c r="R247" s="23"/>
      <x:c r="S247" s="23"/>
      <x:c r="T247" s="23"/>
      <x:c r="U247" s="23"/>
      <x:c r="V247" s="23"/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2"/>
      <x:c r="AI247" s="20" t="str">
        <x:f>IFERROR(LN(Y247),"")</x:f>
      </x:c>
      <x:c r="AJ247" s="20" t="str">
        <x:f>IFERROR(LN(Z247),"")</x:f>
      </x:c>
      <x:c r="AK247" s="20" t="str">
        <x:f>IFERROR(LN(AA247),"")</x:f>
      </x:c>
      <x:c r="AL247" s="20" t="str">
        <x:f>IFERROR(LN(AB247),"")</x:f>
      </x:c>
      <x:c r="AM247" s="20" t="str">
        <x:f>IFERROR(LN(AC247),"")</x:f>
      </x:c>
      <x:c r="AN247" s="20" t="str">
        <x:f>IFERROR(LN(AD247),"")</x:f>
      </x:c>
      <x:c r="AO247" s="20" t="str">
        <x:f>IFERROR(LN(AE247),"")</x:f>
      </x:c>
      <x:c r="AP247" s="20" t="str">
        <x:f>IFERROR(LN(AF247),"")</x:f>
      </x:c>
      <x:c r="AQ247" s="20" t="str">
        <x:f>IFERROR(LN(AG247),"")</x:f>
      </x:c>
    </x:row>
    <x:row r="248" ht="15" hidden="0" customHeight="1">
      <x:c r="A248" s="22"/>
      <x:c r="B248" s="32"/>
      <x:c r="C248" s="22"/>
      <x:c r="D248" s="22"/>
      <x:c r="E248" s="22"/>
      <x:c r="F248" s="33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3"/>
      <x:c r="Q248" s="23"/>
      <x:c r="R248" s="23"/>
      <x:c r="S248" s="23"/>
      <x:c r="T248" s="23"/>
      <x:c r="U248" s="23"/>
      <x:c r="V248" s="23"/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2"/>
      <x:c r="AI248" s="20" t="str">
        <x:f>IFERROR(LN(Y248),"")</x:f>
      </x:c>
      <x:c r="AJ248" s="20" t="str">
        <x:f>IFERROR(LN(Z248),"")</x:f>
      </x:c>
      <x:c r="AK248" s="20" t="str">
        <x:f>IFERROR(LN(AA248),"")</x:f>
      </x:c>
      <x:c r="AL248" s="20" t="str">
        <x:f>IFERROR(LN(AB248),"")</x:f>
      </x:c>
      <x:c r="AM248" s="20" t="str">
        <x:f>IFERROR(LN(AC248),"")</x:f>
      </x:c>
      <x:c r="AN248" s="20" t="str">
        <x:f>IFERROR(LN(AD248),"")</x:f>
      </x:c>
      <x:c r="AO248" s="20" t="str">
        <x:f>IFERROR(LN(AE248),"")</x:f>
      </x:c>
      <x:c r="AP248" s="20" t="str">
        <x:f>IFERROR(LN(AF248),"")</x:f>
      </x:c>
      <x:c r="AQ248" s="20" t="str">
        <x:f>IFERROR(LN(AG248),"")</x:f>
      </x:c>
    </x:row>
    <x:row r="249" ht="15" hidden="0" customHeight="1">
      <x:c r="A249" s="22"/>
      <x:c r="B249" s="32"/>
      <x:c r="C249" s="22"/>
      <x:c r="D249" s="22"/>
      <x:c r="E249" s="22"/>
      <x:c r="F249" s="33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3"/>
      <x:c r="Q249" s="23"/>
      <x:c r="R249" s="23"/>
      <x:c r="S249" s="23"/>
      <x:c r="T249" s="23"/>
      <x:c r="U249" s="23"/>
      <x:c r="V249" s="23"/>
      <x:c r="W249" s="23"/>
      <x:c r="X249" s="23"/>
      <x:c r="Y249" s="23"/>
      <x:c r="Z249" s="23"/>
      <x:c r="AA249" s="23"/>
      <x:c r="AB249" s="23"/>
      <x:c r="AC249" s="23"/>
      <x:c r="AD249" s="23"/>
      <x:c r="AE249" s="23"/>
      <x:c r="AF249" s="23"/>
      <x:c r="AG249" s="23"/>
      <x:c r="AH249" s="22"/>
      <x:c r="AI249" s="20" t="str">
        <x:f>IFERROR(LN(Y249),"")</x:f>
      </x:c>
      <x:c r="AJ249" s="20" t="str">
        <x:f>IFERROR(LN(Z249),"")</x:f>
      </x:c>
      <x:c r="AK249" s="20" t="str">
        <x:f>IFERROR(LN(AA249),"")</x:f>
      </x:c>
      <x:c r="AL249" s="20" t="str">
        <x:f>IFERROR(LN(AB249),"")</x:f>
      </x:c>
      <x:c r="AM249" s="20" t="str">
        <x:f>IFERROR(LN(AC249),"")</x:f>
      </x:c>
      <x:c r="AN249" s="20" t="str">
        <x:f>IFERROR(LN(AD249),"")</x:f>
      </x:c>
      <x:c r="AO249" s="20" t="str">
        <x:f>IFERROR(LN(AE249),"")</x:f>
      </x:c>
      <x:c r="AP249" s="20" t="str">
        <x:f>IFERROR(LN(AF249),"")</x:f>
      </x:c>
      <x:c r="AQ249" s="20" t="str">
        <x:f>IFERROR(LN(AG249),"")</x:f>
      </x:c>
    </x:row>
    <x:row r="250" ht="15" hidden="0" customHeight="1">
      <x:c r="A250" s="22"/>
      <x:c r="B250" s="32"/>
      <x:c r="C250" s="22"/>
      <x:c r="D250" s="22"/>
      <x:c r="E250" s="22"/>
      <x:c r="F250" s="33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3"/>
      <x:c r="Q250" s="23"/>
      <x:c r="R250" s="23"/>
      <x:c r="S250" s="23"/>
      <x:c r="T250" s="23"/>
      <x:c r="U250" s="23"/>
      <x:c r="V250" s="23"/>
      <x:c r="W250" s="23"/>
      <x:c r="X250" s="23"/>
      <x:c r="Y250" s="23"/>
      <x:c r="Z250" s="23"/>
      <x:c r="AA250" s="23"/>
      <x:c r="AB250" s="23"/>
      <x:c r="AC250" s="23"/>
      <x:c r="AD250" s="23"/>
      <x:c r="AE250" s="23"/>
      <x:c r="AF250" s="23"/>
      <x:c r="AG250" s="23"/>
      <x:c r="AH250" s="22"/>
      <x:c r="AI250" s="20" t="str">
        <x:f>IFERROR(LN(Y250),"")</x:f>
      </x:c>
      <x:c r="AJ250" s="20" t="str">
        <x:f>IFERROR(LN(Z250),"")</x:f>
      </x:c>
      <x:c r="AK250" s="20" t="str">
        <x:f>IFERROR(LN(AA250),"")</x:f>
      </x:c>
      <x:c r="AL250" s="20" t="str">
        <x:f>IFERROR(LN(AB250),"")</x:f>
      </x:c>
      <x:c r="AM250" s="20" t="str">
        <x:f>IFERROR(LN(AC250),"")</x:f>
      </x:c>
      <x:c r="AN250" s="20" t="str">
        <x:f>IFERROR(LN(AD250),"")</x:f>
      </x:c>
      <x:c r="AO250" s="20" t="str">
        <x:f>IFERROR(LN(AE250),"")</x:f>
      </x:c>
      <x:c r="AP250" s="20" t="str">
        <x:f>IFERROR(LN(AF250),"")</x:f>
      </x:c>
      <x:c r="AQ250" s="20" t="str">
        <x:f>IFERROR(LN(AG250),"")</x:f>
      </x:c>
    </x:row>
    <x:row r="251" ht="15" hidden="0" customHeight="1">
      <x:c r="A251" s="22"/>
      <x:c r="B251" s="32"/>
      <x:c r="C251" s="22"/>
      <x:c r="D251" s="22"/>
      <x:c r="E251" s="22"/>
      <x:c r="F251" s="33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3"/>
      <x:c r="Q251" s="23"/>
      <x:c r="R251" s="23"/>
      <x:c r="S251" s="23"/>
      <x:c r="T251" s="23"/>
      <x:c r="U251" s="23"/>
      <x:c r="V251" s="23"/>
      <x:c r="W251" s="23"/>
      <x:c r="X251" s="23"/>
      <x:c r="Y251" s="23"/>
      <x:c r="Z251" s="23"/>
      <x:c r="AA251" s="23"/>
      <x:c r="AB251" s="23"/>
      <x:c r="AC251" s="23"/>
      <x:c r="AD251" s="23"/>
      <x:c r="AE251" s="23"/>
      <x:c r="AF251" s="23"/>
      <x:c r="AG251" s="23"/>
      <x:c r="AH251" s="22"/>
      <x:c r="AI251" s="20" t="str">
        <x:f>IFERROR(LN(Y251),"")</x:f>
      </x:c>
      <x:c r="AJ251" s="20" t="str">
        <x:f>IFERROR(LN(Z251),"")</x:f>
      </x:c>
      <x:c r="AK251" s="20" t="str">
        <x:f>IFERROR(LN(AA251),"")</x:f>
      </x:c>
      <x:c r="AL251" s="20" t="str">
        <x:f>IFERROR(LN(AB251),"")</x:f>
      </x:c>
      <x:c r="AM251" s="20" t="str">
        <x:f>IFERROR(LN(AC251),"")</x:f>
      </x:c>
      <x:c r="AN251" s="20" t="str">
        <x:f>IFERROR(LN(AD251),"")</x:f>
      </x:c>
      <x:c r="AO251" s="20" t="str">
        <x:f>IFERROR(LN(AE251),"")</x:f>
      </x:c>
      <x:c r="AP251" s="20" t="str">
        <x:f>IFERROR(LN(AF251),"")</x:f>
      </x:c>
      <x:c r="AQ251" s="20" t="str">
        <x:f>IFERROR(LN(AG251),"")</x:f>
      </x:c>
    </x:row>
  </x:sheetData>
  <x:mergeCells>
    <x:mergeCell ref="A1:AH1"/>
  </x:mergeCells>
  <x:conditionalFormatting sqref="F4:F251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{A749D848-A406-F918-86CB-06F3F67A6CB9}</x14:id>
        </x:ext>
      </x:extLst>
    </x:cfRule>
  </x:conditionalFormatting>
  <x:conditionalFormatting sqref="P4:AG251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2">
    <x:dataValidation type="list" sqref="G4:O251">
      <x:formula1>'MI5 Scale'!$A$2:$A$8</x:formula1>
    </x:dataValidation>
    <x:dataValidation type="list" sqref="F4:F251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f6cdbfd3ee4d1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749D848-A406-F918-86CB-06F3F67A6CB9}">
            <x14:dataBar gradient="1">
              <x14:cfvo type="min"/>
              <x14:cfvo type="max"/>
              <x14:fillColor rgb="4472C4"/>
            </x14:dataBar>
          </x14:cfRule>
          <xm:sqref>F4:F251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72.8000030517578" hidden="0" customHeight="1">
      <x:c r="A1" s="36" t="str">
        <x:v>Decision Nodes — High-Leverage Questions</x:v>
      </x:c>
      <x:c r="B1" s="22"/>
      <x:c r="C1" s="22"/>
      <x:c r="D1" s="22"/>
      <x:c r="E1" s="22"/>
      <x:c r="F1" s="22"/>
      <x:c r="G1" s="22"/>
      <x:c r="H1" s="22"/>
    </x:row>
    <x:row r="2"/>
    <x:row r="3" ht="15" hidden="0" customHeight="1">
      <x:c r="A3" s="6" t="str">
        <x:v>Node</x:v>
      </x:c>
      <x:c r="B3" s="6" t="str">
        <x:v>Question</x:v>
      </x:c>
      <x:c r="C3" s="6" t="str">
        <x:v>Primary Evidence</x:v>
      </x:c>
      <x:c r="D3" s="6" t="str">
        <x:v>Favors If Yes</x:v>
      </x:c>
      <x:c r="E3" s="6" t="str">
        <x:v>Favors If No</x:v>
      </x:c>
      <x:c r="F3" s="6" t="str">
        <x:v>Current Status</x:v>
      </x:c>
      <x:c r="G3" s="6" t="str">
        <x:v>Next Reading / Action</x:v>
      </x:c>
      <x:c r="H3" s="6" t="str">
        <x:v>Notes</x:v>
      </x:c>
    </x:row>
    <x:row r="4" ht="15" hidden="0" customHeight="1">
      <x:c r="A4" t="str">
        <x:v>A</x:v>
      </x:c>
      <x:c r="B4" t="str">
        <x:v>Did the resurrection occur in any historically meaningful sense?</x:v>
      </x:c>
      <x:c r="C4" t="str">
        <x:v>Historical origins, empty tomb, appearances, early belief</x:v>
      </x:c>
      <x:c r="D4" t="str">
        <x:v>EC, PC, CT</x:v>
      </x:c>
      <x:c r="E4" t="str">
        <x:v>HC, N</x:v>
      </x:c>
      <x:c r="F4" t="str">
        <x:v>Open / under review</x:v>
      </x:c>
      <x:c r="G4" t="str">
        <x:v>Read Wright, Crossan, Evans, Wallace</x:v>
      </x:c>
      <x:c r="H4" t="str">
        <x:v>Split historical claim from apologetic overreach.</x:v>
      </x:c>
    </x:row>
    <x:row r="5" ht="15" hidden="0" customHeight="1">
      <x:c r="A5" t="str">
        <x:v>B</x:v>
      </x:c>
      <x:c r="B5" t="str">
        <x:v>Is consciousness reducible to physical processes?</x:v>
      </x:c>
      <x:c r="C5" t="str">
        <x:v>Hard problem, qualia, rationality, agency</x:v>
      </x:c>
      <x:c r="D5" t="str">
        <x:v>IS, PT, CT, MS</x:v>
      </x:c>
      <x:c r="E5" t="str">
        <x:v>N</x:v>
      </x:c>
      <x:c r="F5" t="str">
        <x:v>Open / underdeveloped</x:v>
      </x:c>
      <x:c r="G5" t="str">
        <x:v>Read Chalmers/Nagel/Parfit or comparable summaries</x:v>
      </x:c>
      <x:c r="H5" t="str">
        <x:v>Current model was underweighted here.</x:v>
      </x:c>
    </x:row>
    <x:row r="6" ht="15" hidden="0" customHeight="1">
      <x:c r="A6" t="str">
        <x:v>C</x:v>
      </x:c>
      <x:c r="B6" t="str">
        <x:v>Are moral facts objective or only constructed?</x:v>
      </x:c>
      <x:c r="C6" t="str">
        <x:v>Human dignity, suffering, slavery critique</x:v>
      </x:c>
      <x:c r="D6" t="str">
        <x:v>CT, PT, PC, IS</x:v>
      </x:c>
      <x:c r="E6" t="str">
        <x:v>N, HC</x:v>
      </x:c>
      <x:c r="F6" t="str">
        <x:v>Open / central</x:v>
      </x:c>
      <x:c r="G6" t="str">
        <x:v>Read moral realism/constructivism</x:v>
      </x:c>
      <x:c r="H6" t="str">
        <x:v>Avoid using moral force without grounding.</x:v>
      </x:c>
    </x:row>
    <x:row r="7" ht="15" hidden="0" customHeight="1">
      <x:c r="A7" t="str">
        <x:v>D</x:v>
      </x:c>
      <x:c r="B7" t="str">
        <x:v>Is severe suffering compatible with a good God?</x:v>
      </x:c>
      <x:c r="C7" t="str">
        <x:v>Problem of evil, divine hiddenness, personal grief</x:v>
      </x:c>
      <x:c r="D7" t="str">
        <x:v>PT, MT, N</x:v>
      </x:c>
      <x:c r="E7" t="str">
        <x:v>EC, CT</x:v>
      </x:c>
      <x:c r="F7" t="str">
        <x:v>Strong challenge</x:v>
      </x:c>
      <x:c r="G7" t="str">
        <x:v>Compare Alcorn/Ehrman/process theology</x:v>
      </x:c>
      <x:c r="H7" t="str">
        <x:v>Process Theology included specifically for this node.</x:v>
      </x:c>
    </x:row>
    <x:row r="8" ht="15" hidden="0" customHeight="1">
      <x:c r="A8" t="str">
        <x:v>E</x:v>
      </x:c>
      <x:c r="B8" t="str">
        <x:v>Can Christian practice remain rational without supernatural certainty?</x:v>
      </x:c>
      <x:c r="C8" t="str">
        <x:v>Church, recovery, worship, family/community identity</x:v>
      </x:c>
      <x:c r="D8" t="str">
        <x:v>HC, PC</x:v>
      </x:c>
      <x:c r="E8" t="str">
        <x:v>EC</x:v>
      </x:c>
      <x:c r="F8" t="str">
        <x:v>Currently yes</x:v>
      </x:c>
      <x:c r="G8" t="str">
        <x:v>Track lived practice separately from metaphysical belief</x:v>
      </x:c>
      <x:c r="H8" t="str">
        <x:v>This is not the same as historical truth.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0b20398a8af4a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5" hidden="0" customWidth="1"/>
    <x:col min="9" max="9" width="28" hidden="0" customWidth="1"/>
    <x:col min="10" max="10" width="18" hidden="0" customWidth="1"/>
  </x:cols>
  <x:sheetData>
    <x:row r="1" ht="76.80000305175781" hidden="0" customHeight="1">
      <x:c r="A1" s="36" t="str">
        <x:v>Reading Tracker and Source Notes</x:v>
      </x:c>
      <x:c r="B1" s="22" t="str"/>
      <x:c r="C1" s="22" t="str"/>
      <x:c r="D1" s="22" t="str"/>
      <x:c r="E1" s="22" t="str"/>
      <x:c r="F1" s="22" t="str"/>
      <x:c r="G1" s="22" t="str"/>
      <x:c r="H1" s="22" t="str"/>
      <x:c r="I1" s="22" t="str"/>
      <x:c r="J1" s="22" t="str"/>
    </x:row>
    <x:row r="2" ht="15" hidden="0" customHeight="1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</x:row>
    <x:row r="3" ht="26.399999618530273" hidden="0" customHeight="1">
      <x:c r="A3" s="6" t="str">
        <x:v>Status</x:v>
      </x:c>
      <x:c r="B3" s="6" t="str">
        <x:v>Title</x:v>
      </x:c>
      <x:c r="C3" s="6" t="str">
        <x:v>Author / Editor</x:v>
      </x:c>
      <x:c r="D3" s="6" t="str">
        <x:v>Category</x:v>
      </x:c>
      <x:c r="E3" s="6" t="str">
        <x:v>Directional Push</x:v>
      </x:c>
      <x:c r="F3" s="6" t="str">
        <x:v>Evidence Nodes</x:v>
      </x:c>
      <x:c r="G3" s="6" t="str">
        <x:v>Priority</x:v>
      </x:c>
      <x:c r="H3" s="6" t="str">
        <x:v>My Notes / Impression</x:v>
      </x:c>
      <x:c r="I3" s="6" t="str">
        <x:v>Next Action</x:v>
      </x:c>
      <x:c r="J3" s="6" t="str">
        <x:v>Date Finished / Started</x:v>
      </x:c>
    </x:row>
    <x:row r="4" ht="15" hidden="0" customHeight="1">
      <x:c r="A4" t="str">
        <x:v>Read</x:v>
      </x:c>
      <x:c r="B4" t="str">
        <x:v>Reasonable Faith: Christian Truth and Apologetics</x:v>
      </x:c>
      <x:c r="C4" t="str">
        <x:v>William Lane Craig</x:v>
      </x:c>
      <x:c r="D4" t="str">
        <x:v>Apologetics / Philosophy of Religion</x:v>
      </x:c>
      <x:c r="E4" t="str">
        <x:v>Toward CT, but rejected by user</x:v>
      </x:c>
      <x:c r="F4" t="str">
        <x:v>CT, Moral, Resurrection</x:v>
      </x:c>
      <x:c r="G4" t="str">
        <x:v>Complete</x:v>
      </x:c>
      <x:c r="H4" t="str">
        <x:v>Not impressed. User judged reasoning circular, evasive, and prone to misrepresentation.</x:v>
      </x:c>
      <x:c r="I4" t="str">
        <x:v>Use as example of apologetic approach found unpersuasive.</x:v>
      </x:c>
      <x:c r="J4" t="str"/>
    </x:row>
    <x:row r="5" ht="15" hidden="0" customHeight="1">
      <x:c r="A5" t="str">
        <x:v>Read</x:v>
      </x:c>
      <x:c r="B5" t="str">
        <x:v>The God Delusion</x:v>
      </x:c>
      <x:c r="C5" t="str">
        <x:v>Richard Dawkins</x:v>
      </x:c>
      <x:c r="D5" t="str">
        <x:v>Atheist critique / Evolution</x:v>
      </x:c>
      <x:c r="E5" t="str">
        <x:v>Toward N</x:v>
      </x:c>
      <x:c r="F5" t="str">
        <x:v>Naturalism, Evolution, Religion critique</x:v>
      </x:c>
      <x:c r="G5" t="str">
        <x:v>Complete</x:v>
      </x:c>
      <x:c r="H5" t="str">
        <x:v>Liked overview and analogies; opponent views felt dismissive and insufficiently steelmanned.</x:v>
      </x:c>
      <x:c r="I5" t="str">
        <x:v>Keep as critique, not final arbiter.</x:v>
      </x:c>
      <x:c r="J5" t="str"/>
    </x:row>
    <x:row r="6" ht="15" hidden="0" customHeight="1">
      <x:c r="A6" t="str">
        <x:v>Read</x:v>
      </x:c>
      <x:c r="B6" t="str">
        <x:v>The Language of God: A Scientist Presents Evidence for Belief</x:v>
      </x:c>
      <x:c r="C6" t="str">
        <x:v>Francis S. Collins</x:v>
      </x:c>
      <x:c r="D6" t="str">
        <x:v>Science and Faith</x:v>
      </x:c>
      <x:c r="E6" t="str">
        <x:v>Compatibility: Science + Theism</x:v>
      </x:c>
      <x:c r="F6" t="str">
        <x:v>Evolution, Moral Argument</x:v>
      </x:c>
      <x:c r="G6" t="str">
        <x:v>Complete</x:v>
      </x:c>
      <x:c r="H6" t="str">
        <x:v>Strong for why theists should accept science; weak for why naturalists should believe in God.</x:v>
      </x:c>
      <x:c r="I6" t="str">
        <x:v>Use for science-faith compatibility.</x:v>
      </x:c>
      <x:c r="J6" t="str"/>
    </x:row>
    <x:row r="7" ht="15" hidden="0" customHeight="1">
      <x:c r="A7" t="str">
        <x:v>Read</x:v>
      </x:c>
      <x:c r="B7" t="str">
        <x:v>Why Evolution Is True</x:v>
      </x:c>
      <x:c r="C7" t="str">
        <x:v>Jerry A. Coyne</x:v>
      </x:c>
      <x:c r="D7" t="str">
        <x:v>Evolution / Science</x:v>
      </x:c>
      <x:c r="E7" t="str">
        <x:v>Toward N on origins</x:v>
      </x:c>
      <x:c r="F7" t="str">
        <x:v>Evolution</x:v>
      </x:c>
      <x:c r="G7" t="str">
        <x:v>Complete</x:v>
      </x:c>
      <x:c r="H7" t="str">
        <x:v>Very well thought-out case for evolution.</x:v>
      </x:c>
      <x:c r="I7" t="str">
        <x:v>High confidence source for evolution.</x:v>
      </x:c>
      <x:c r="J7" t="str"/>
    </x:row>
    <x:row r="8" ht="15" hidden="0" customHeight="1">
      <x:c r="A8" t="str">
        <x:v>Read</x:v>
      </x:c>
      <x:c r="B8" t="str">
        <x:v>The Evolution of Adam: What the Bible Does and Doesn’t Say About Human Origins</x:v>
      </x:c>
      <x:c r="C8" t="str">
        <x:v>Peter Enns</x:v>
      </x:c>
      <x:c r="D8" t="str">
        <x:v>Biblical studies / Origins</x:v>
      </x:c>
      <x:c r="E8" t="str">
        <x:v>Against inerrancy; toward nonliteral theology</x:v>
      </x:c>
      <x:c r="F8" t="str">
        <x:v>Scripture, Evolution</x:v>
      </x:c>
      <x:c r="G8" t="str">
        <x:v>Complete</x:v>
      </x:c>
      <x:c r="H8" t="str">
        <x:v>Good presentation for why theists should accept scientific ideas; not much reason for naturalists to believe in God.</x:v>
      </x:c>
      <x:c r="I8" t="str">
        <x:v>Use for reframing Genesis/Adam.</x:v>
      </x:c>
      <x:c r="J8" t="str"/>
    </x:row>
    <x:row r="9" ht="15" hidden="0" customHeight="1">
      <x:c r="A9" t="str">
        <x:v>Read</x:v>
      </x:c>
      <x:c r="B9" t="str">
        <x:v>The Human Instinct: How We Evolved to Have Reason, Consciousness, and Free Will</x:v>
      </x:c>
      <x:c r="C9" t="str">
        <x:v>Kenneth R. Miller</x:v>
      </x:c>
      <x:c r="D9" t="str">
        <x:v>Consciousness / Evolution</x:v>
      </x:c>
      <x:c r="E9" t="str">
        <x:v>Toward N-compatible mind</x:v>
      </x:c>
      <x:c r="F9" t="str">
        <x:v>Consciousness, Free Will</x:v>
      </x:c>
      <x:c r="G9" t="str">
        <x:v>Complete</x:v>
      </x:c>
      <x:c r="H9" t="str">
        <x:v>Fascinating naturalistic overview; user sees little reason to refute it.</x:v>
      </x:c>
      <x:c r="I9" t="str">
        <x:v>Balance with Chalmers/Nagel before over-updating.</x:v>
      </x:c>
      <x:c r="J9" t="str"/>
    </x:row>
    <x:row r="10" ht="15" hidden="0" customHeight="1">
      <x:c r="A10" t="str">
        <x:v>Read</x:v>
      </x:c>
      <x:c r="B10" t="str">
        <x:v>The Case for the Resurrection of Jesus</x:v>
      </x:c>
      <x:c r="C10" t="str">
        <x:v>Gary R. Habermas &amp; Michael R. Licona</x:v>
      </x:c>
      <x:c r="D10" t="str">
        <x:v>Resurrection apologetics</x:v>
      </x:c>
      <x:c r="E10" t="str">
        <x:v>Toward CT, but rejected by user</x:v>
      </x:c>
      <x:c r="F10" t="str">
        <x:v>Resurrection / History</x:v>
      </x:c>
      <x:c r="G10" t="str">
        <x:v>Complete</x:v>
      </x:c>
      <x:c r="H10" t="str">
        <x:v>Not impressed by minimal facts approach; several claims found incredulous.</x:v>
      </x:c>
      <x:c r="I10" t="str">
        <x:v>Revisit after Wright/Crossan/Evans.</x:v>
      </x:c>
      <x:c r="J10" t="str"/>
    </x:row>
    <x:row r="11" ht="15" hidden="0" customHeight="1">
      <x:c r="A11" t="str">
        <x:v>Read</x:v>
      </x:c>
      <x:c r="B11" t="str">
        <x:v>How Jesus Became God: The Exaltation of a Jewish Preacher from Galilee</x:v>
      </x:c>
      <x:c r="C11" t="str">
        <x:v>Bart D. Ehrman</x:v>
      </x:c>
      <x:c r="D11" t="str">
        <x:v>Historical Jesus / Early Christology</x:v>
      </x:c>
      <x:c r="E11" t="str">
        <x:v>Against CT orthodoxy certainty</x:v>
      </x:c>
      <x:c r="F11" t="str">
        <x:v>Resurrection / History, Christology</x:v>
      </x:c>
      <x:c r="G11" t="str">
        <x:v>Complete</x:v>
      </x:c>
      <x:c r="H11" t="str">
        <x:v>Very good and fascinating look into likely early church development.</x:v>
      </x:c>
      <x:c r="I11" t="str">
        <x:v>Compare with Wright/Evans.</x:v>
      </x:c>
      <x:c r="J11" t="str"/>
    </x:row>
    <x:row r="12" ht="15" hidden="0" customHeight="1">
      <x:c r="A12" t="str">
        <x:v>Read</x:v>
      </x:c>
      <x:c r="B12" t="str">
        <x:v>Misquoting Jesus: The Story Behind Who Changed the Bible and Why</x:v>
      </x:c>
      <x:c r="C12" t="str">
        <x:v>Bart D. Ehrman</x:v>
      </x:c>
      <x:c r="D12" t="str">
        <x:v>Textual criticism</x:v>
      </x:c>
      <x:c r="E12" t="str">
        <x:v>Against inerrancy</x:v>
      </x:c>
      <x:c r="F12" t="str">
        <x:v>Scripture / Text transmission</x:v>
      </x:c>
      <x:c r="G12" t="str">
        <x:v>Complete</x:v>
      </x:c>
      <x:c r="H12" t="str">
        <x:v>Very good explanation of textual criticism; challenged prior inerrantist teaching.</x:v>
      </x:c>
      <x:c r="I12" t="str">
        <x:v>Compare with Wallace.</x:v>
      </x:c>
      <x:c r="J12" t="str"/>
    </x:row>
    <x:row r="13" ht="15" hidden="0" customHeight="1">
      <x:c r="A13" t="str">
        <x:v>Owned / Unread</x:v>
      </x:c>
      <x:c r="B13" t="str">
        <x:v>The Resurrection of the Son of God</x:v>
      </x:c>
      <x:c r="C13" t="str">
        <x:v>N. T. Wright</x:v>
      </x:c>
      <x:c r="D13" t="str">
        <x:v>Resurrection / Historical theology</x:v>
      </x:c>
      <x:c r="E13" t="str">
        <x:v>Toward CT</x:v>
      </x:c>
      <x:c r="F13" t="str">
        <x:v>Resurrection / History</x:v>
      </x:c>
      <x:c r="G13" t="str">
        <x:v>High</x:v>
      </x:c>
      <x:c r="H13" t="str">
        <x:v>Unread. Important stronger case than popular apologetics.</x:v>
      </x:c>
      <x:c r="I13" t="str">
        <x:v>Read soon; update E3 likelihoods after finishing.</x:v>
      </x:c>
      <x:c r="J13" t="str"/>
    </x:row>
    <x:row r="14" ht="15" hidden="0" customHeight="1">
      <x:c r="A14" t="str">
        <x:v>Owned / Unread</x:v>
      </x:c>
      <x:c r="B14" t="str">
        <x:v>The Birth of Christianity: Discovering What Happened in the Years Immediately After the Execution of Jesus</x:v>
      </x:c>
      <x:c r="C14" t="str">
        <x:v>John Dominic Crossan</x:v>
      </x:c>
      <x:c r="D14" t="str">
        <x:v>Historical Jesus / Early Christianity</x:v>
      </x:c>
      <x:c r="E14" t="str">
        <x:v>Toward critical/nonliteral models</x:v>
      </x:c>
      <x:c r="F14" t="str">
        <x:v>Resurrection / History</x:v>
      </x:c>
      <x:c r="G14" t="str">
        <x:v>High</x:v>
      </x:c>
      <x:c r="H14" t="str">
        <x:v>Unread. Useful counterweight to Wright.</x:v>
      </x:c>
      <x:c r="I14" t="str">
        <x:v>Read alongside or after Wright.</x:v>
      </x:c>
      <x:c r="J14" t="str"/>
    </x:row>
    <x:row r="15" ht="15" hidden="0" customHeight="1">
      <x:c r="A15" t="str">
        <x:v>Owned / Unread</x:v>
      </x:c>
      <x:c r="B15" t="str">
        <x:v>Fabricating Jesus: How Modern Scholars Distort the Gospels</x:v>
      </x:c>
      <x:c r="C15" t="str">
        <x:v>Craig A. Evans</x:v>
      </x:c>
      <x:c r="D15" t="str">
        <x:v>Historical Jesus / Apologetic critique</x:v>
      </x:c>
      <x:c r="E15" t="str">
        <x:v>Toward CT / critical of skeptical scholarship</x:v>
      </x:c>
      <x:c r="F15" t="str">
        <x:v>Resurrection / History, Gospels</x:v>
      </x:c>
      <x:c r="G15" t="str">
        <x:v>Medium</x:v>
      </x:c>
      <x:c r="H15" t="str">
        <x:v>Unread. Useful response to skeptical reconstructions.</x:v>
      </x:c>
      <x:c r="I15" t="str">
        <x:v>Read after Crossan/Ehrman comparisons.</x:v>
      </x:c>
      <x:c r="J15" t="str"/>
    </x:row>
    <x:row r="16" ht="15" hidden="0" customHeight="1">
      <x:c r="A16" t="str">
        <x:v>Owned / Unread</x:v>
      </x:c>
      <x:c r="B16" t="str">
        <x:v>The Gnostic Gospels</x:v>
      </x:c>
      <x:c r="C16" t="str">
        <x:v>Elaine Pagels</x:v>
      </x:c>
      <x:c r="D16" t="str">
        <x:v>Early Christianity / Gnosticism</x:v>
      </x:c>
      <x:c r="E16" t="str">
        <x:v>Pluralizes early Christian origins</x:v>
      </x:c>
      <x:c r="F16" t="str">
        <x:v>Early Christianity, Scripture</x:v>
      </x:c>
      <x:c r="G16" t="str">
        <x:v>Medium</x:v>
      </x:c>
      <x:c r="H16" t="str">
        <x:v>Unread. Useful for diversity of early Christianity.</x:v>
      </x:c>
      <x:c r="I16" t="str">
        <x:v>Read after core resurrection/history node.</x:v>
      </x:c>
      <x:c r="J16" t="str"/>
    </x:row>
    <x:row r="17" ht="15" hidden="0" customHeight="1">
      <x:c r="A17" t="str">
        <x:v>Planned</x:v>
      </x:c>
      <x:c r="B17" t="str">
        <x:v>Revisiting the Reliability of the New Testament</x:v>
      </x:c>
      <x:c r="C17" t="str">
        <x:v>Daniel B. Wallace (ed.)</x:v>
      </x:c>
      <x:c r="D17" t="str">
        <x:v>Textual criticism / NT reliability</x:v>
      </x:c>
      <x:c r="E17" t="str">
        <x:v>Toward textual reliability / CT-compatible</x:v>
      </x:c>
      <x:c r="F17" t="str">
        <x:v>Scripture, Text transmission</x:v>
      </x:c>
      <x:c r="G17" t="str">
        <x:v>High</x:v>
      </x:c>
      <x:c r="H17" t="str">
        <x:v>Planned. Important counterweight to Ehrman.</x:v>
      </x:c>
      <x:c r="I17" t="str">
        <x:v>Acquire/read.</x:v>
      </x:c>
      <x:c r="J17" t="str"/>
    </x:row>
    <x:row r="18" ht="15" hidden="0" customHeight="1">
      <x:c r="A18" t="str">
        <x:v>Planned</x:v>
      </x:c>
      <x:c r="B18" t="str">
        <x:v>Inspiration and Incarnation: Evangelicals and the Problem of the Old Testament</x:v>
      </x:c>
      <x:c r="C18" t="str">
        <x:v>Peter Enns</x:v>
      </x:c>
      <x:c r="D18" t="str">
        <x:v>Biblical theology / OT</x:v>
      </x:c>
      <x:c r="E18" t="str">
        <x:v>Against inerrancy; toward incarnational scripture</x:v>
      </x:c>
      <x:c r="F18" t="str">
        <x:v>Scripture</x:v>
      </x:c>
      <x:c r="G18" t="str">
        <x:v>Medium</x:v>
      </x:c>
      <x:c r="H18" t="str">
        <x:v>Planned. Likely useful for broader inspired sense of Bible.</x:v>
      </x:c>
      <x:c r="I18" t="str">
        <x:v>Acquire/read.</x:v>
      </x:c>
      <x:c r="J18" t="str"/>
    </x:row>
    <x:row r="19" ht="15" hidden="0" customHeight="1">
      <x:c r="A19" t="str">
        <x:v>Planned</x:v>
      </x:c>
      <x:c r="B19" t="str">
        <x:v>The Bible Tells Me So: Why Defending Scripture Has Made Us Unable to Read It</x:v>
      </x:c>
      <x:c r="C19" t="str">
        <x:v>Peter Enns</x:v>
      </x:c>
      <x:c r="D19" t="str">
        <x:v>Biblical theology</x:v>
      </x:c>
      <x:c r="E19" t="str">
        <x:v>Against defensive inerrancy</x:v>
      </x:c>
      <x:c r="F19" t="str">
        <x:v>Scripture</x:v>
      </x:c>
      <x:c r="G19" t="str">
        <x:v>Medium</x:v>
      </x:c>
      <x:c r="H19" t="str">
        <x:v>Planned.</x:v>
      </x:c>
      <x:c r="I19" t="str">
        <x:v>Acquire/read.</x:v>
      </x:c>
      <x:c r="J19" t="str"/>
    </x:row>
    <x:row r="20" ht="15" hidden="0" customHeight="1">
      <x:c r="A20" t="str">
        <x:v>Planned</x:v>
      </x:c>
      <x:c r="B20" t="str">
        <x:v>Systematic Theology: An Introduction to Biblical Doctrine</x:v>
      </x:c>
      <x:c r="C20" t="str">
        <x:v>Wayne Grudem</x:v>
      </x:c>
      <x:c r="D20" t="str">
        <x:v>Systematic theology</x:v>
      </x:c>
      <x:c r="E20" t="str">
        <x:v>Toward evangelical CT</x:v>
      </x:c>
      <x:c r="F20" t="str">
        <x:v>Doctrine</x:v>
      </x:c>
      <x:c r="G20" t="str">
        <x:v>Medium</x:v>
      </x:c>
      <x:c r="H20" t="str">
        <x:v>Planned. Represents conservative doctrinal system.</x:v>
      </x:c>
      <x:c r="I20" t="str">
        <x:v>Read critically as internal theology.</x:v>
      </x:c>
      <x:c r="J20" t="str"/>
    </x:row>
    <x:row r="21" ht="15" hidden="0" customHeight="1">
      <x:c r="A21" t="str">
        <x:v>Planned</x:v>
      </x:c>
      <x:c r="B21" t="str">
        <x:v>Christian Theology: An Introduction</x:v>
      </x:c>
      <x:c r="C21" t="str">
        <x:v>Alister E. McGrath</x:v>
      </x:c>
      <x:c r="D21" t="str">
        <x:v>Systematic theology / historical theology</x:v>
      </x:c>
      <x:c r="E21" t="str">
        <x:v>Broad Christian theology</x:v>
      </x:c>
      <x:c r="F21" t="str">
        <x:v>Doctrine, Metaphysics</x:v>
      </x:c>
      <x:c r="G21" t="str">
        <x:v>Medium</x:v>
      </x:c>
      <x:c r="H21" t="str">
        <x:v>Planned. More academic and broad than Grudem.</x:v>
      </x:c>
      <x:c r="I21" t="str">
        <x:v>Use as framework map.</x:v>
      </x:c>
      <x:c r="J21" t="str"/>
    </x:row>
    <x:row r="22" ht="15" hidden="0" customHeight="1">
      <x:c r="A22" t="str">
        <x:v>Planned</x:v>
      </x:c>
      <x:c r="B22" t="str">
        <x:v>If God Is Good: Faith in the Midst of Suffering and Evil</x:v>
      </x:c>
      <x:c r="C22" t="str">
        <x:v>Randy Alcorn</x:v>
      </x:c>
      <x:c r="D22" t="str">
        <x:v>Theodicy</x:v>
      </x:c>
      <x:c r="E22" t="str">
        <x:v>Toward CT against evil problem</x:v>
      </x:c>
      <x:c r="F22" t="str">
        <x:v>Suffering / Evil</x:v>
      </x:c>
      <x:c r="G22" t="str">
        <x:v>High</x:v>
      </x:c>
      <x:c r="H22" t="str">
        <x:v>Planned. Directly relevant to strongest current pressure point.</x:v>
      </x:c>
      <x:c r="I22" t="str">
        <x:v>Read against Ehrman God’s Problem.</x:v>
      </x:c>
      <x:c r="J22" t="str"/>
    </x:row>
    <x:row r="23" ht="15" hidden="0" customHeight="1">
      <x:c r="A23" t="str">
        <x:v>Planned</x:v>
      </x:c>
      <x:c r="B23" t="str">
        <x:v>God’s Problem: How the Bible Fails to Answer Our Most Important Question—Why We Suffer</x:v>
      </x:c>
      <x:c r="C23" t="str">
        <x:v>Bart D. Ehrman</x:v>
      </x:c>
      <x:c r="D23" t="str">
        <x:v>Problem of evil / Biblical studies</x:v>
      </x:c>
      <x:c r="E23" t="str">
        <x:v>Against CT / biblical adequacy</x:v>
      </x:c>
      <x:c r="F23" t="str">
        <x:v>Suffering / Evil</x:v>
      </x:c>
      <x:c r="G23" t="str">
        <x:v>High</x:v>
      </x:c>
      <x:c r="H23" t="str">
        <x:v>Planned.</x:v>
      </x:c>
      <x:c r="I23" t="str">
        <x:v>Pair with Alcorn.</x:v>
      </x:c>
      <x:c r="J23" t="str"/>
    </x:row>
    <x:row r="24" ht="15" hidden="0" customHeight="1">
      <x:c r="A24" t="str">
        <x:v>Planned</x:v>
      </x:c>
      <x:c r="B24" t="str">
        <x:v>The Sin of Certainty: Why God Desires Our Trust More Than Our “Correct” Beliefs</x:v>
      </x:c>
      <x:c r="C24" t="str">
        <x:v>Peter Enns</x:v>
      </x:c>
      <x:c r="D24" t="str">
        <x:v>Faith / Epistemology</x:v>
      </x:c>
      <x:c r="E24" t="str">
        <x:v>Toward trust over certainty</x:v>
      </x:c>
      <x:c r="F24" t="str">
        <x:v>Epistemology, Faith</x:v>
      </x:c>
      <x:c r="G24" t="str">
        <x:v>Medium</x:v>
      </x:c>
      <x:c r="H24" t="str">
        <x:v>Planned. Likely resonates with current stance.</x:v>
      </x:c>
      <x:c r="I24" t="str">
        <x:v>Acquire/read.</x:v>
      </x:c>
      <x:c r="J24" t="str"/>
    </x:row>
    <x:row r="25" ht="15" hidden="0" customHeight="1">
      <x:c r="A25" t="str">
        <x:v>Planned</x:v>
      </x:c>
      <x:c r="B25" t="str">
        <x:v>God Is Not Great: How Religion Poisons Everything</x:v>
      </x:c>
      <x:c r="C25" t="str">
        <x:v>Christopher Hitchens</x:v>
      </x:c>
      <x:c r="D25" t="str">
        <x:v>Atheist critique</x:v>
      </x:c>
      <x:c r="E25" t="str">
        <x:v>Toward N / anti-religion</x:v>
      </x:c>
      <x:c r="F25" t="str">
        <x:v>Religion critique</x:v>
      </x:c>
      <x:c r="G25" t="str">
        <x:v>Low</x:v>
      </x:c>
      <x:c r="H25" t="str">
        <x:v>Planned. Likely rhetorically strong but not necessarily philosophically balanced.</x:v>
      </x:c>
      <x:c r="I25" t="str">
        <x:v>Read, but do not overweight.</x:v>
      </x:c>
      <x:c r="J25" t="str"/>
    </x:row>
    <x:row r="26" ht="15" hidden="0" customHeight="1">
      <x:c r="A26" t="str">
        <x:v>Planned</x:v>
      </x:c>
      <x:c r="B26" t="str">
        <x:v>Holy Hurt: Understanding Spiritual Trauma and the Process of Healing</x:v>
      </x:c>
      <x:c r="C26" t="str">
        <x:v>Hillary L. McBride, PhD</x:v>
      </x:c>
      <x:c r="D26" t="str">
        <x:v>Spiritual trauma / psychology</x:v>
      </x:c>
      <x:c r="E26" t="str">
        <x:v>Psychological reframing</x:v>
      </x:c>
      <x:c r="F26" t="str">
        <x:v>Religious experience, Trauma</x:v>
      </x:c>
      <x:c r="G26" t="str">
        <x:v>High</x:v>
      </x:c>
      <x:c r="H26" t="str">
        <x:v>Planned. Important for disentangling belief from harm.</x:v>
      </x:c>
      <x:c r="I26" t="str">
        <x:v>Acquire/read.</x:v>
      </x:c>
      <x:c r="J26" t="str"/>
    </x:row>
    <x:row r="27" ht="15" hidden="0" customHeight="1">
      <x:c r="A27" t="str">
        <x:v>Planned</x:v>
      </x:c>
      <x:c r="B27" t="str">
        <x:v>How the Bible Actually Works: In Which I Explain How an Ancient, Ambiguous, and Diverse Book Leads Us to Wisdom Rather Than Answers—And Why That’s Good News</x:v>
      </x:c>
      <x:c r="C27" t="str">
        <x:v>Peter Enns</x:v>
      </x:c>
      <x:c r="D27" t="str">
        <x:v>Biblical theology</x:v>
      </x:c>
      <x:c r="E27" t="str">
        <x:v>Against inerrancy; wisdom model</x:v>
      </x:c>
      <x:c r="F27" t="str">
        <x:v>Scripture</x:v>
      </x:c>
      <x:c r="G27" t="str">
        <x:v>Medium</x:v>
      </x:c>
      <x:c r="H27" t="str">
        <x:v>Planned.</x:v>
      </x:c>
      <x:c r="I27" t="str">
        <x:v>Acquire/read.</x:v>
      </x:c>
      <x:c r="J27" t="str"/>
    </x:row>
    <x:row r="28" ht="15" hidden="0" customHeight="1">
      <x:c r="A28" t="str">
        <x:v>Planned</x:v>
      </x:c>
      <x:c r="B28" t="str">
        <x:v>Sapiens: A Brief History of Humankind</x:v>
      </x:c>
      <x:c r="C28" t="str">
        <x:v>Yuval Noah Harari</x:v>
      </x:c>
      <x:c r="D28" t="str">
        <x:v>History / anthropology</x:v>
      </x:c>
      <x:c r="E28" t="str">
        <x:v>Toward naturalistic/social construction views</x:v>
      </x:c>
      <x:c r="F28" t="str">
        <x:v>Meaning, Religion, Culture</x:v>
      </x:c>
      <x:c r="G28" t="str">
        <x:v>Medium</x:v>
      </x:c>
      <x:c r="H28" t="str">
        <x:v>Planned.</x:v>
      </x:c>
      <x:c r="I28" t="str">
        <x:v>Read as broad cultural/evolutionary narrative.</x:v>
      </x:c>
      <x:c r="J28" t="str"/>
    </x:row>
    <x:row r="29" ht="15" hidden="0" customHeight="1">
      <x:c r="A29" t="str">
        <x:v>Planned</x:v>
      </x:c>
      <x:c r="B29" t="str">
        <x:v>A Nefarious Plot</x:v>
      </x:c>
      <x:c r="C29" t="str">
        <x:v>Steve Deace</x:v>
      </x:c>
      <x:c r="D29" t="str">
        <x:v>Political / Christian cultural critique</x:v>
      </x:c>
      <x:c r="E29" t="str">
        <x:v>Likely Christian conservative cultural lens</x:v>
      </x:c>
      <x:c r="F29" t="str">
        <x:v>Politics, Culture</x:v>
      </x:c>
      <x:c r="G29" t="str">
        <x:v>Low</x:v>
      </x:c>
      <x:c r="H29" t="str">
        <x:v>Planned. May be rhetorically/ideologically loaded.</x:v>
      </x:c>
      <x:c r="I29" t="str">
        <x:v>Read with caution if used at all.</x:v>
      </x:c>
      <x:c r="J29" t="str"/>
    </x:row>
    <x:row r="30" ht="15" hidden="0" customHeight="1">
      <x:c r="A30" t="str">
        <x:v>Planned</x:v>
      </x:c>
      <x:c r="B30" t="str">
        <x:v>Title unspecified</x:v>
      </x:c>
      <x:c r="C30" t="str">
        <x:v>Bill Creasy</x:v>
      </x:c>
      <x:c r="D30" t="str">
        <x:v>Biblical teaching</x:v>
      </x:c>
      <x:c r="E30" t="str">
        <x:v>Christian biblical interpretation</x:v>
      </x:c>
      <x:c r="F30" t="str">
        <x:v>Scripture</x:v>
      </x:c>
      <x:c r="G30" t="str">
        <x:v>Low</x:v>
      </x:c>
      <x:c r="H30" t="str">
        <x:v>Planned, title unspecified.</x:v>
      </x:c>
      <x:c r="I30" t="str">
        <x:v>Specify title before tracking deeply.</x:v>
      </x:c>
      <x:c r="J30" t="str"/>
    </x:row>
    <x:row r="31" ht="15" hidden="0" customHeight="1">
      <x:c r="A31" t="str">
        <x:v>Planned</x:v>
      </x:c>
      <x:c r="B31" t="str">
        <x:v>Title unspecified</x:v>
      </x:c>
      <x:c r="C31" t="str">
        <x:v>Scott Hahn</x:v>
      </x:c>
      <x:c r="D31" t="str">
        <x:v>Catholic theology / apologetics</x:v>
      </x:c>
      <x:c r="E31" t="str">
        <x:v>Toward Catholic CT</x:v>
      </x:c>
      <x:c r="F31" t="str">
        <x:v>Theology, Scripture</x:v>
      </x:c>
      <x:c r="G31" t="str">
        <x:v>Medium</x:v>
      </x:c>
      <x:c r="H31" t="str">
        <x:v>Planned, title unspecified.</x:v>
      </x:c>
      <x:c r="I31" t="str">
        <x:v>Specify title before tracking deeply.</x:v>
      </x:c>
      <x:c r="J31" t="str"/>
    </x:row>
    <x:row r="32" ht="15" hidden="0" customHeight="1">
      <x:c r="A32" t="str">
        <x:v>Planned</x:v>
      </x:c>
      <x:c r="B32" t="str">
        <x:v>Truth and Fear: Breaking Free from Religious Fundamentalism</x:v>
      </x:c>
      <x:c r="C32" t="str">
        <x:v>Daniel Krause</x:v>
      </x:c>
      <x:c r="D32" t="str">
        <x:v>Religious fundamentalism / recovery</x:v>
      </x:c>
      <x:c r="E32" t="str">
        <x:v>Against fundamentalism</x:v>
      </x:c>
      <x:c r="F32" t="str">
        <x:v>Spiritual trauma, Epistemology</x:v>
      </x:c>
      <x:c r="G32" t="str">
        <x:v>Medium</x:v>
      </x:c>
      <x:c r="H32" t="str">
        <x:v>Planned.</x:v>
      </x:c>
      <x:c r="I32" t="str">
        <x:v>Acquire/read.</x:v>
      </x:c>
      <x:c r="J32" t="str"/>
    </x:row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ee42a5031e34b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8.400001525878906" hidden="0" customHeight="1">
      <x:c r="A1" s="36" t="str">
        <x:v>Instructions and Model Notes</x:v>
      </x:c>
      <x:c r="B1" s="22"/>
    </x:row>
    <x:row r="2"/>
    <x:row r="3" ht="15" hidden="0" customHeight="1">
      <x:c r="A3" s="42" t="str">
        <x:v>Purpose</x:v>
      </x:c>
      <x:c r="B3" s="42" t="str">
        <x:v>This workbook tracks worldview hypotheses using MI5-style likelihood inputs and weighted Bayesian factors.</x:v>
      </x:c>
    </x:row>
    <x:row r="4" ht="15" hidden="0" customHeight="1">
      <x:c r="A4" t="str">
        <x:v>Key change</x:v>
      </x:c>
      <x:c r="B4" t="str">
        <x:v>The model has been expanded from 4 hypotheses to 9 to avoid treating Non-Theistic Spirituality as a broad catch-all.</x:v>
      </x:c>
    </x:row>
    <x:row r="5" ht="15" hidden="0" customHeight="1">
      <x:c r="A5" t="str">
        <x:v>Editable fields</x:v>
      </x:c>
      <x:c r="B5" t="str">
        <x:v>On Evidence Log, edit Date, Evidence / Argument, Category, Source / Book, Weight 0-5, MI5 likelihood labels, and Notes.</x:v>
      </x:c>
    </x:row>
    <x:row r="6" ht="15" hidden="0" customHeight="1">
      <x:c r="A6" t="str">
        <x:v>Do not edit</x:v>
      </x:c>
      <x:c r="B6" t="str">
        <x:v>Numeric and Factor columns are formula-driven. Hypotheses posterior formulas are also formula-driven.</x:v>
      </x:c>
    </x:row>
    <x:row r="7" ht="15" hidden="0" customHeight="1">
      <x:c r="A7" t="str">
        <x:v>Weight rule</x:v>
      </x:c>
      <x:c r="B7" t="str">
        <x:v>Weight should represent diagnostic value: how strongly the evidence distinguishes among hypotheses, not emotional intensity.</x:v>
      </x:c>
    </x:row>
    <x:row r="8" ht="15" hidden="0" customHeight="1">
      <x:c r="A8" t="str">
        <x:v>MI5 labels</x:v>
      </x:c>
      <x:c r="B8" t="str">
        <x:v>Use only exact labels from MI5 Scale: Remote chance, Highly unlikely, Unlikely, Roughly even chance, Likely / probable, Highly likely, Almost certain.</x:v>
      </x:c>
    </x:row>
    <x:row r="9" ht="15" hidden="0" customHeight="1">
      <x:c r="A9" t="str">
        <x:v>Posterior math</x:v>
      </x:c>
      <x:c r="B9" t="str">
        <x:v>Hypotheses use log posterior formulas for numerical stability, then convert back to normalized probabilities.</x:v>
      </x:c>
    </x:row>
    <x:row r="10" ht="15" hidden="0" customHeight="1">
      <x:c r="A10" t="str">
        <x:v>Reading tracker</x:v>
      </x:c>
      <x:c r="B10" t="str">
        <x:v>Use the Reading Tracker to log sources and how they influence specific decision nodes.</x:v>
      </x:c>
    </x:row>
    <x:row r="11" ht="15" hidden="0" customHeight="1">
      <x:c r="A11" t="str">
        <x:v>Caution</x:v>
      </x:c>
      <x:c r="B11" t="str">
        <x:v>The model is an aid to disciplined reasoning, not an oracle. Results reflect the current evidence set, priors, weights, and likelihood assignments.</x:v>
      </x:c>
    </x:row>
    <x:row r="12"/>
    <x:row r="13" ht="15" hidden="0" customHeight="1">
      <x:c r="A13" s="22" t="str">
        <x:v>Original workbook</x:v>
      </x:c>
      <x:c r="B13" s="22" t="str">
        <x:v>Expanded from uploaded file: bayesian_belief_dashboard_mi5 (1).xlsx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</x:sheetData>
  <x:mergeCells>
    <x:mergeCell ref="A1:B1"/>
  </x:mergeCells>
  <x:pageMargins left="0.7" right="0.7" top="0.75" bottom="0.75" header="0.3" footer="0.3"/>
</x:worksheet>
</file>